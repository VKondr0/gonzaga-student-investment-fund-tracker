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6" codeName="{643B0D74-A683-FBA9-23B4-8A0AA6E0B6B9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/Users/mac/Desktop/"/>
    </mc:Choice>
  </mc:AlternateContent>
  <xr:revisionPtr revIDLastSave="0" documentId="8_{EDF675E8-666A-674D-89A1-C926D1B01B5D}" xr6:coauthVersionLast="47" xr6:coauthVersionMax="47" xr10:uidLastSave="{00000000-0000-0000-0000-000000000000}"/>
  <bookViews>
    <workbookView xWindow="0" yWindow="600" windowWidth="28800" windowHeight="15840" activeTab="1" xr2:uid="{38FC9A89-DE60-4D4F-B22C-9D91051AAE18}"/>
  </bookViews>
  <sheets>
    <sheet name="Dashboard" sheetId="1" r:id="rId1"/>
    <sheet name="Transactions" sheetId="2" r:id="rId2"/>
    <sheet name="Holdings" sheetId="3" r:id="rId3"/>
    <sheet name="Prices" sheetId="4" r:id="rId4"/>
    <sheet name="Summary" sheetId="5" r:id="rId5"/>
    <sheet name="History" sheetId="10" r:id="rId6"/>
    <sheet name="VBA_Log" sheetId="8" r:id="rId7"/>
    <sheet name="Lists" sheetId="6" state="hidden" r:id="rId8"/>
  </sheets>
  <functionGroups builtInGroupCount="19"/>
  <definedNames>
    <definedName name="_xlnm._FilterDatabase" localSheetId="6" hidden="1">VBA_Log!$A$3:$G$3</definedName>
    <definedName name="AssetTypeList">Lists!$A$2:$A$5</definedName>
    <definedName name="TickerList">Lists!$E$2:$E$7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5" i="2" l="1"/>
  <c r="J35" i="2" a="1"/>
  <c r="J35" i="2" s="1"/>
  <c r="I35" i="2"/>
  <c r="G35" i="2"/>
  <c r="G34" i="2"/>
  <c r="I34" i="2" s="1"/>
  <c r="K33" i="2"/>
  <c r="G33" i="2"/>
  <c r="I33" i="2" s="1"/>
  <c r="K32" i="2"/>
  <c r="G32" i="2"/>
  <c r="I32" i="2" s="1"/>
  <c r="K31" i="2"/>
  <c r="G31" i="2"/>
  <c r="I31" i="2" s="1"/>
  <c r="K30" i="2"/>
  <c r="G30" i="2"/>
  <c r="I30" i="2" s="1"/>
  <c r="G29" i="2"/>
  <c r="I29" i="2" s="1"/>
  <c r="K28" i="2"/>
  <c r="G28" i="2"/>
  <c r="I28" i="2" s="1"/>
  <c r="K27" i="2"/>
  <c r="G27" i="2"/>
  <c r="I27" i="2" s="1"/>
  <c r="K26" i="2"/>
  <c r="G26" i="2"/>
  <c r="I26" i="2" s="1"/>
  <c r="K25" i="2"/>
  <c r="G25" i="2"/>
  <c r="I25" i="2" s="1"/>
  <c r="K24" i="2"/>
  <c r="G24" i="2"/>
  <c r="I24" i="2" s="1"/>
  <c r="I41" i="1"/>
  <c r="E41" i="1"/>
  <c r="K23" i="2"/>
  <c r="G23" i="2"/>
  <c r="I23" i="2" s="1"/>
  <c r="K2" i="2"/>
  <c r="K3" i="2"/>
  <c r="K4" i="2"/>
  <c r="K5" i="2"/>
  <c r="K6" i="2"/>
  <c r="K7" i="2"/>
  <c r="K8" i="2"/>
  <c r="K9" i="2"/>
  <c r="K10" i="2"/>
  <c r="K11" i="2"/>
  <c r="K16" i="2"/>
  <c r="K17" i="2"/>
  <c r="K18" i="2"/>
  <c r="K19" i="2"/>
  <c r="K20" i="2"/>
  <c r="K21" i="2"/>
  <c r="K22" i="2"/>
  <c r="G22" i="2"/>
  <c r="I22" i="2" s="1"/>
  <c r="G3" i="2"/>
  <c r="I3" i="2" s="1"/>
  <c r="J3" i="2" s="1" a="1"/>
  <c r="J3" i="2" s="1"/>
  <c r="G4" i="2"/>
  <c r="I4" i="2" s="1"/>
  <c r="J4" i="2" s="1" a="1"/>
  <c r="J4" i="2" s="1"/>
  <c r="G5" i="2"/>
  <c r="I5" i="2" s="1"/>
  <c r="J5" i="2" s="1" a="1"/>
  <c r="J5" i="2" s="1"/>
  <c r="G6" i="2"/>
  <c r="I6" i="2" s="1"/>
  <c r="J6" i="2" s="1" a="1"/>
  <c r="J6" i="2" s="1"/>
  <c r="J10" i="2" s="1" a="1"/>
  <c r="J10" i="2" s="1"/>
  <c r="J14" i="2" s="1" a="1"/>
  <c r="J14" i="2" s="1"/>
  <c r="G7" i="2"/>
  <c r="I7" i="2" s="1"/>
  <c r="G8" i="2"/>
  <c r="I8" i="2" s="1"/>
  <c r="J8" i="2" s="1" a="1"/>
  <c r="J8" i="2" s="1"/>
  <c r="J19" i="2" s="1" a="1"/>
  <c r="J19" i="2" s="1"/>
  <c r="G9" i="2"/>
  <c r="I9" i="2" s="1"/>
  <c r="G10" i="2"/>
  <c r="I10" i="2" s="1"/>
  <c r="G11" i="2"/>
  <c r="I11" i="2" s="1"/>
  <c r="G12" i="2"/>
  <c r="I12" i="2" s="1"/>
  <c r="G13" i="2"/>
  <c r="I13" i="2" s="1"/>
  <c r="G14" i="2"/>
  <c r="I14" i="2" s="1"/>
  <c r="G15" i="2"/>
  <c r="I15" i="2" s="1"/>
  <c r="G16" i="2"/>
  <c r="I16" i="2" s="1"/>
  <c r="G17" i="2"/>
  <c r="I17" i="2" s="1"/>
  <c r="G18" i="2"/>
  <c r="I18" i="2" s="1"/>
  <c r="G19" i="2"/>
  <c r="I19" i="2" s="1"/>
  <c r="G20" i="2"/>
  <c r="I20" i="2" s="1"/>
  <c r="G21" i="2"/>
  <c r="I21" i="2" s="1"/>
  <c r="G2" i="2"/>
  <c r="I2" i="2" s="1"/>
  <c r="J2" i="2" s="1" a="1"/>
  <c r="J2" i="2" s="1"/>
  <c r="A41" i="1"/>
  <c r="I10" i="1"/>
  <c r="E10" i="1"/>
  <c r="A10" i="1"/>
  <c r="I6" i="1"/>
  <c r="E6" i="1"/>
  <c r="A6" i="1"/>
  <c r="A15" i="1"/>
  <c r="B2" i="3"/>
  <c r="B15" i="1" s="1"/>
  <c r="L3" i="3"/>
  <c r="L4" i="3"/>
  <c r="N4" i="3" s="1"/>
  <c r="L5" i="3"/>
  <c r="N5" i="3" s="1"/>
  <c r="L6" i="3"/>
  <c r="N6" i="3" s="1"/>
  <c r="L7" i="3"/>
  <c r="L2" i="3"/>
  <c r="N2" i="3" s="1"/>
  <c r="D3" i="4"/>
  <c r="D4" i="4"/>
  <c r="D5" i="4"/>
  <c r="D6" i="4"/>
  <c r="D7" i="4"/>
  <c r="D2" i="4"/>
  <c r="A20" i="1"/>
  <c r="A19" i="1"/>
  <c r="A18" i="1"/>
  <c r="A17" i="1"/>
  <c r="A16" i="1"/>
  <c r="G4" i="3"/>
  <c r="D17" i="1" s="1"/>
  <c r="G2" i="3"/>
  <c r="D15" i="1" s="1"/>
  <c r="G3" i="3"/>
  <c r="D16" i="1" s="1"/>
  <c r="G5" i="3"/>
  <c r="D18" i="1" s="1"/>
  <c r="G6" i="3"/>
  <c r="D19" i="1" s="1"/>
  <c r="G7" i="3"/>
  <c r="D20" i="1" s="1"/>
  <c r="D3" i="3"/>
  <c r="D4" i="3"/>
  <c r="D5" i="3"/>
  <c r="D6" i="3"/>
  <c r="D7" i="3"/>
  <c r="D2" i="3"/>
  <c r="C3" i="3"/>
  <c r="C4" i="3"/>
  <c r="C5" i="3"/>
  <c r="C6" i="3"/>
  <c r="C7" i="3"/>
  <c r="C2" i="3"/>
  <c r="B3" i="3"/>
  <c r="B16" i="1" s="1"/>
  <c r="B4" i="3"/>
  <c r="B17" i="1" s="1"/>
  <c r="B5" i="3"/>
  <c r="B18" i="1" s="1"/>
  <c r="B6" i="3"/>
  <c r="B19" i="1" s="1"/>
  <c r="B7" i="3"/>
  <c r="B20" i="1" s="1"/>
  <c r="J26" i="2" l="1" a="1"/>
  <c r="J26" i="2" s="1"/>
  <c r="J32" i="2" s="1" a="1"/>
  <c r="J32" i="2" s="1"/>
  <c r="J9" i="2" a="1"/>
  <c r="J9" i="2" s="1"/>
  <c r="J15" i="2" s="1" a="1"/>
  <c r="J15" i="2" s="1"/>
  <c r="J7" i="2" a="1"/>
  <c r="J7" i="2" s="1"/>
  <c r="J12" i="2" s="1" a="1"/>
  <c r="J12" i="2" s="1"/>
  <c r="J17" i="2" a="1"/>
  <c r="J17" i="2" s="1"/>
  <c r="J20" i="2" s="1" a="1"/>
  <c r="J20" i="2" s="1"/>
  <c r="J22" i="2" s="1" a="1"/>
  <c r="J22" i="2" s="1"/>
  <c r="J25" i="2" s="1" a="1"/>
  <c r="J25" i="2" s="1"/>
  <c r="J34" i="2" s="1" a="1"/>
  <c r="J34" i="2" s="1"/>
  <c r="K34" i="2" s="1"/>
  <c r="J11" i="2" a="1"/>
  <c r="J11" i="2" s="1"/>
  <c r="J13" i="2" s="1" a="1"/>
  <c r="J13" i="2" s="1"/>
  <c r="J18" i="2" a="1"/>
  <c r="J18" i="2" s="1"/>
  <c r="J21" i="2" s="1" a="1"/>
  <c r="J21" i="2" s="1"/>
  <c r="J30" i="2" s="1" a="1"/>
  <c r="J30" i="2" s="1"/>
  <c r="J33" i="2" s="1" a="1"/>
  <c r="J33" i="2" s="1"/>
  <c r="K14" i="2"/>
  <c r="F5" i="3"/>
  <c r="F7" i="3"/>
  <c r="F2" i="3"/>
  <c r="F4" i="3"/>
  <c r="F3" i="3"/>
  <c r="F6" i="3"/>
  <c r="N3" i="3"/>
  <c r="N7" i="3"/>
  <c r="E2" i="3"/>
  <c r="M2" i="3" s="1"/>
  <c r="E7" i="3"/>
  <c r="M7" i="3" s="1"/>
  <c r="E6" i="3"/>
  <c r="E5" i="3"/>
  <c r="E4" i="3"/>
  <c r="M4" i="3" s="1"/>
  <c r="E3" i="3"/>
  <c r="M3" i="3" s="1"/>
  <c r="K15" i="2" l="1"/>
  <c r="J16" i="2" a="1"/>
  <c r="J16" i="2" s="1"/>
  <c r="J23" i="2" s="1" a="1"/>
  <c r="J23" i="2" s="1"/>
  <c r="J29" i="2" s="1" a="1"/>
  <c r="J29" i="2" s="1"/>
  <c r="K13" i="2"/>
  <c r="J28" i="2" a="1"/>
  <c r="J28" i="2" s="1"/>
  <c r="K12" i="2"/>
  <c r="J24" i="2" a="1"/>
  <c r="J24" i="2" s="1"/>
  <c r="J27" i="2" s="1" a="1"/>
  <c r="J27" i="2" s="1"/>
  <c r="J5" i="3"/>
  <c r="I4" i="3"/>
  <c r="F17" i="1" s="1"/>
  <c r="J6" i="3"/>
  <c r="M5" i="3"/>
  <c r="J4" i="3"/>
  <c r="J3" i="3"/>
  <c r="M6" i="3"/>
  <c r="J7" i="3"/>
  <c r="J2" i="3"/>
  <c r="I2" i="3"/>
  <c r="F15" i="1" s="1"/>
  <c r="H5" i="3"/>
  <c r="E18" i="1" s="1"/>
  <c r="C18" i="1"/>
  <c r="H6" i="3"/>
  <c r="E19" i="1" s="1"/>
  <c r="C19" i="1"/>
  <c r="H7" i="3"/>
  <c r="E20" i="1" s="1"/>
  <c r="C20" i="1"/>
  <c r="H2" i="3"/>
  <c r="C15" i="1"/>
  <c r="H3" i="3"/>
  <c r="E16" i="1" s="1"/>
  <c r="C16" i="1"/>
  <c r="H4" i="3"/>
  <c r="C17" i="1"/>
  <c r="I7" i="3"/>
  <c r="F20" i="1" s="1"/>
  <c r="I6" i="3"/>
  <c r="F19" i="1" s="1"/>
  <c r="I5" i="3"/>
  <c r="F18" i="1" s="1"/>
  <c r="I3" i="3"/>
  <c r="F16" i="1" s="1"/>
  <c r="K29" i="2" l="1"/>
  <c r="J31" i="2" a="1"/>
  <c r="J31" i="2" s="1"/>
  <c r="I49" i="1"/>
  <c r="E49" i="1"/>
  <c r="C58" i="1" s="1"/>
  <c r="G58" i="1" s="1"/>
  <c r="I58" i="1" s="1"/>
  <c r="E45" i="1"/>
  <c r="K4" i="3"/>
  <c r="K3" i="3"/>
  <c r="K7" i="3"/>
  <c r="K6" i="3"/>
  <c r="K5" i="3"/>
  <c r="K2" i="3"/>
  <c r="A45" i="1"/>
  <c r="O5" i="3"/>
  <c r="O6" i="3"/>
  <c r="O7" i="3"/>
  <c r="O2" i="3"/>
  <c r="O3" i="3"/>
  <c r="O4" i="3"/>
  <c r="I45" i="1"/>
  <c r="E17" i="1"/>
  <c r="A49" i="1"/>
  <c r="E15" i="1"/>
  <c r="C59" i="1" l="1"/>
  <c r="G59" i="1" s="1"/>
  <c r="I59" i="1" s="1"/>
  <c r="F61" i="1"/>
  <c r="Q6" i="3"/>
  <c r="Q7" i="3"/>
  <c r="Q2" i="3"/>
  <c r="Q4" i="3"/>
  <c r="Q5" i="3"/>
  <c r="Q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<sst xmlns="http://schemas.openxmlformats.org/spreadsheetml/2006/main" count="561" uniqueCount="128">
  <si>
    <t>Date</t>
  </si>
  <si>
    <t>Ticker</t>
  </si>
  <si>
    <t>Asset Type</t>
  </si>
  <si>
    <t>Action</t>
  </si>
  <si>
    <t>Quantity</t>
  </si>
  <si>
    <t>Price per Unit</t>
  </si>
  <si>
    <t>Total Amount</t>
  </si>
  <si>
    <t>Broker Fee</t>
  </si>
  <si>
    <t>Net Cash Flow</t>
  </si>
  <si>
    <t>Account</t>
  </si>
  <si>
    <t>Notes</t>
  </si>
  <si>
    <t>Stock</t>
  </si>
  <si>
    <t>Crypto</t>
  </si>
  <si>
    <t>ETF</t>
  </si>
  <si>
    <t>Cash</t>
  </si>
  <si>
    <t>Buy</t>
  </si>
  <si>
    <t>Sell</t>
  </si>
  <si>
    <t>Deposit</t>
  </si>
  <si>
    <t>Withdrawal</t>
  </si>
  <si>
    <t>Brokerage</t>
  </si>
  <si>
    <t>Crypto Wallet</t>
  </si>
  <si>
    <t>Bank Cash</t>
  </si>
  <si>
    <t>Total Bought</t>
  </si>
  <si>
    <t>Total Sold</t>
  </si>
  <si>
    <t>Net Quantity</t>
  </si>
  <si>
    <t>Average Cost</t>
  </si>
  <si>
    <t>Current Price</t>
  </si>
  <si>
    <t>Market Value</t>
  </si>
  <si>
    <t>Unrealized Gain/Loss</t>
  </si>
  <si>
    <t>Last Updated</t>
  </si>
  <si>
    <t>AAPL</t>
  </si>
  <si>
    <t>MSFT</t>
  </si>
  <si>
    <t>BTC</t>
  </si>
  <si>
    <t>ETH</t>
  </si>
  <si>
    <t>TON</t>
  </si>
  <si>
    <t>USDT</t>
  </si>
  <si>
    <t>Metric</t>
  </si>
  <si>
    <t>Value</t>
  </si>
  <si>
    <t>Current Portfolio Value</t>
  </si>
  <si>
    <t>Number of Assets</t>
  </si>
  <si>
    <t>Best Performing Asset</t>
  </si>
  <si>
    <t>Worst Performing Asset</t>
  </si>
  <si>
    <t>Gonzaga Student Investment Fund Portfolio Tracker</t>
  </si>
  <si>
    <t>Total Unrealized Gain/Loss</t>
  </si>
  <si>
    <t>Portfolio Overview</t>
  </si>
  <si>
    <t>Performance</t>
  </si>
  <si>
    <t>Portfolio Allocation</t>
  </si>
  <si>
    <t>Largest Holding</t>
  </si>
  <si>
    <t>TRANSACTION INPUT</t>
  </si>
  <si>
    <t>Main Portfolio</t>
  </si>
  <si>
    <t>Date/Time</t>
  </si>
  <si>
    <t>Total Portfolio Value</t>
  </si>
  <si>
    <t>Number of Holdings</t>
  </si>
  <si>
    <t>Diversification Comment</t>
  </si>
  <si>
    <t>Cost Basis</t>
  </si>
  <si>
    <t>Unrealized Gain/Loss %</t>
  </si>
  <si>
    <t>Previous Close</t>
  </si>
  <si>
    <t>Day Change $</t>
  </si>
  <si>
    <t>Day Change %</t>
  </si>
  <si>
    <t>Weight %</t>
  </si>
  <si>
    <t>Target Weight %</t>
  </si>
  <si>
    <t>Allocation Gap %</t>
  </si>
  <si>
    <t>Total Cost Basis</t>
  </si>
  <si>
    <t>Total Unrealized Gain/Loss %</t>
  </si>
  <si>
    <t>Total Day Change $</t>
  </si>
  <si>
    <t>Total Day Change %</t>
  </si>
  <si>
    <t>Stocks Value</t>
  </si>
  <si>
    <t>Crypto Value</t>
  </si>
  <si>
    <t>Stocks Weight %</t>
  </si>
  <si>
    <t>Crypto Weight %</t>
  </si>
  <si>
    <t>Test BTC 1</t>
  </si>
  <si>
    <t>Test AAPL 1</t>
  </si>
  <si>
    <t>Test ETH 1</t>
  </si>
  <si>
    <t>Test MSFT 1</t>
  </si>
  <si>
    <t>Test TON 1</t>
  </si>
  <si>
    <t>Test AAPL 2</t>
  </si>
  <si>
    <t>Test USDT 1</t>
  </si>
  <si>
    <t>Test BTC 2</t>
  </si>
  <si>
    <t>Test TON 2</t>
  </si>
  <si>
    <t>Test MSFT 2</t>
  </si>
  <si>
    <t>Largest Holding %</t>
  </si>
  <si>
    <t>Diversification Status</t>
  </si>
  <si>
    <t>Test AAPL profit</t>
  </si>
  <si>
    <t>SELL MSFT</t>
  </si>
  <si>
    <t>SELL TON</t>
  </si>
  <si>
    <t>SELL BTC</t>
  </si>
  <si>
    <t>Test BTC</t>
  </si>
  <si>
    <t>Test ETH</t>
  </si>
  <si>
    <t>lower buy</t>
  </si>
  <si>
    <t>higher buy</t>
  </si>
  <si>
    <t>Net Invested Capital</t>
  </si>
  <si>
    <t>Top Daily Gainer</t>
  </si>
  <si>
    <t>Top Daily Loser</t>
  </si>
  <si>
    <t>Avg Cost Before Sale</t>
  </si>
  <si>
    <t>Realized G/L</t>
  </si>
  <si>
    <t>kemdlw</t>
  </si>
  <si>
    <t>Overall Comment</t>
  </si>
  <si>
    <t>Current Weight %</t>
  </si>
  <si>
    <t>Action Needed</t>
  </si>
  <si>
    <t>Gap %</t>
  </si>
  <si>
    <t>Stocks</t>
  </si>
  <si>
    <t>PORTFOLIO WARNINGS &amp; REBALANCING</t>
  </si>
  <si>
    <t>Macro Name</t>
  </si>
  <si>
    <t>Status</t>
  </si>
  <si>
    <t>Message</t>
  </si>
  <si>
    <t>User/Source</t>
  </si>
  <si>
    <t>Sheet Affected</t>
  </si>
  <si>
    <t>VBA LOG</t>
  </si>
  <si>
    <t>RefreshPortfolio</t>
  </si>
  <si>
    <t>Refresh dashboard and summary</t>
  </si>
  <si>
    <t>Warning</t>
  </si>
  <si>
    <t>Portfolio refreshed with warnings</t>
  </si>
  <si>
    <t>Manual button</t>
  </si>
  <si>
    <t>Dashboard</t>
  </si>
  <si>
    <t>SaveSnapshot</t>
  </si>
  <si>
    <t>Save portfolio snapshot</t>
  </si>
  <si>
    <t>Success</t>
  </si>
  <si>
    <t>Snapshot saved successfully</t>
  </si>
  <si>
    <t>History</t>
  </si>
  <si>
    <t>AddTransaction</t>
  </si>
  <si>
    <t>Add new transaction</t>
  </si>
  <si>
    <t>Transaction added and portfolio refreshed successfully</t>
  </si>
  <si>
    <t>Transactions</t>
  </si>
  <si>
    <t>Unrealized G/L</t>
  </si>
  <si>
    <t>target weight % cells are editable inputs and can be changed to test different allocation goals</t>
  </si>
  <si>
    <t>Good</t>
  </si>
  <si>
    <t>Portfolio is well diversified.</t>
  </si>
  <si>
    <t>Portfolio refreshed successfully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</si>
</sst>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₴&quot;_-;\-* #,##0.00\ &quot;₴&quot;_-;_-* &quot;-&quot;??\ &quot;₴&quot;_-;_-@_-"/>
    <numFmt numFmtId="43" formatCode="_-* #,##0.00_-;\-* #,##0.00_-;_-* &quot;-&quot;??_-;_-@_-"/>
    <numFmt numFmtId="164" formatCode="_-[$$-409]* #,##0.00_ ;_-[$$-409]* \-#,##0.00\ ;_-[$$-409]* &quot;-&quot;??_ ;_-@_ "/>
    <numFmt numFmtId="165" formatCode="dd\.mm\.yyyy\ hh:mm"/>
    <numFmt numFmtId="166" formatCode="[$$-409]#,##0.00"/>
    <numFmt numFmtId="167" formatCode="dd\.mm\.yyyy\ hh:mm:ss"/>
  </numFmts>
  <fonts count="12" x14ac:knownFonts="1">
    <font>
      <sz val="12"/>
      <color theme="1"/>
      <name val="Aptos Narrow"/>
      <family val="2"/>
      <charset val="204"/>
      <scheme val="minor"/>
    </font>
    <font>
      <sz val="12"/>
      <color theme="1"/>
      <name val="Aptos Narrow"/>
      <family val="2"/>
      <charset val="204"/>
      <scheme val="minor"/>
    </font>
    <font>
      <b/>
      <sz val="12"/>
      <color theme="1"/>
      <name val="Aptos Narrow"/>
      <scheme val="minor"/>
    </font>
    <font>
      <b/>
      <sz val="12"/>
      <color theme="0"/>
      <name val="Aptos Narrow"/>
      <scheme val="minor"/>
    </font>
    <font>
      <b/>
      <sz val="14"/>
      <color theme="1"/>
      <name val="Aptos Narrow"/>
      <scheme val="minor"/>
    </font>
    <font>
      <b/>
      <sz val="16"/>
      <color theme="0"/>
      <name val="Aptos Narrow"/>
      <scheme val="minor"/>
    </font>
    <font>
      <sz val="12"/>
      <color rgb="FF000000"/>
      <name val="Aptos Narrow"/>
    </font>
    <font>
      <sz val="12"/>
      <color theme="1"/>
      <name val="Aptos Narrow"/>
      <scheme val="minor"/>
    </font>
    <font>
      <b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b/>
      <i/>
      <sz val="12"/>
      <color theme="1"/>
      <name val="Aptos Narrow"/>
      <scheme val="minor"/>
    </font>
    <font>
      <b/>
      <i/>
      <sz val="12"/>
      <color theme="0"/>
      <name val="Aptos Narrow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2" fillId="2" borderId="0" xfId="0" applyFont="1" applyFill="1"/>
    <xf numFmtId="14" fontId="0" fillId="0" borderId="0" xfId="0" applyNumberFormat="1"/>
    <xf numFmtId="14" fontId="2" fillId="0" borderId="0" xfId="0" applyNumberFormat="1" applyFont="1"/>
    <xf numFmtId="164" fontId="0" fillId="0" borderId="0" xfId="0" applyNumberFormat="1"/>
    <xf numFmtId="164" fontId="2" fillId="0" borderId="0" xfId="1" applyNumberFormat="1" applyFont="1"/>
    <xf numFmtId="164" fontId="0" fillId="0" borderId="0" xfId="1" applyNumberFormat="1" applyFont="1"/>
    <xf numFmtId="164" fontId="2" fillId="2" borderId="0" xfId="0" applyNumberFormat="1" applyFont="1" applyFill="1"/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4" borderId="1" xfId="0" applyFill="1" applyBorder="1"/>
    <xf numFmtId="14" fontId="0" fillId="5" borderId="1" xfId="0" applyNumberFormat="1" applyFill="1" applyBorder="1"/>
    <xf numFmtId="0" fontId="0" fillId="5" borderId="1" xfId="0" applyFill="1" applyBorder="1"/>
    <xf numFmtId="165" fontId="0" fillId="0" borderId="0" xfId="0" applyNumberFormat="1"/>
    <xf numFmtId="0" fontId="2" fillId="2" borderId="1" xfId="0" applyFont="1" applyFill="1" applyBorder="1"/>
    <xf numFmtId="9" fontId="0" fillId="0" borderId="0" xfId="0" applyNumberFormat="1"/>
    <xf numFmtId="10" fontId="0" fillId="0" borderId="0" xfId="0" applyNumberFormat="1"/>
    <xf numFmtId="0" fontId="7" fillId="0" borderId="0" xfId="0" applyFont="1"/>
    <xf numFmtId="164" fontId="7" fillId="0" borderId="0" xfId="0" applyNumberFormat="1" applyFont="1"/>
    <xf numFmtId="0" fontId="7" fillId="0" borderId="0" xfId="0" applyFont="1" applyAlignment="1">
      <alignment vertical="center"/>
    </xf>
    <xf numFmtId="1" fontId="0" fillId="0" borderId="0" xfId="0" applyNumberFormat="1"/>
    <xf numFmtId="166" fontId="0" fillId="0" borderId="0" xfId="0" applyNumberFormat="1"/>
    <xf numFmtId="164" fontId="8" fillId="0" borderId="0" xfId="1" applyNumberFormat="1" applyFont="1"/>
    <xf numFmtId="0" fontId="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0" borderId="1" xfId="0" applyFont="1" applyBorder="1"/>
    <xf numFmtId="165" fontId="2" fillId="0" borderId="1" xfId="0" applyNumberFormat="1" applyFont="1" applyBorder="1"/>
    <xf numFmtId="0" fontId="11" fillId="6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7" borderId="0" xfId="0" applyFont="1" applyFill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10" fontId="9" fillId="0" borderId="1" xfId="2" applyNumberFormat="1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</cellXfs>
  <cellStyles count="3">
    <cellStyle name="Денежный" xfId="1" builtinId="4"/>
    <cellStyle name="Обычный" xfId="0" builtinId="0"/>
    <cellStyle name="Финансовый" xfId="2" builtinId="3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numFmt numFmtId="164" formatCode="_-[$$-409]* #,##0.00_ ;_-[$$-409]* \-#,##0.00\ ;_-[$$-409]* &quot;-&quot;??_ ;_-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9" formatCode="dd/mm/yyyy"/>
    </dxf>
    <dxf>
      <font>
        <b/>
        <i val="0"/>
      </font>
    </dxf>
  </dxfs>
  <tableStyles count="0" defaultTableStyle="TableStyleMedium2" defaultPivotStyle="PivotStyleLight16"/>
  <colors>
    <mruColors>
      <color rgb="FFFF8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 Allocation by Holding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978E-1847-9C8A-4627DFD22E6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978E-1847-9C8A-4627DFD22E6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978E-1847-9C8A-4627DFD22E65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978E-1847-9C8A-4627DFD22E65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978E-1847-9C8A-4627DFD22E65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978E-1847-9C8A-4627DFD22E65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UA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Dashboard!$A$15:$A$20</c:f>
              <c:strCache>
                <c:ptCount val="6"/>
                <c:pt idx="0">
                  <c:v>AAPL</c:v>
                </c:pt>
                <c:pt idx="1">
                  <c:v>MSFT</c:v>
                </c:pt>
                <c:pt idx="2">
                  <c:v>BTC</c:v>
                </c:pt>
                <c:pt idx="3">
                  <c:v>ETH</c:v>
                </c:pt>
                <c:pt idx="4">
                  <c:v>TON</c:v>
                </c:pt>
                <c:pt idx="5">
                  <c:v>USDT</c:v>
                </c:pt>
              </c:strCache>
            </c:strRef>
          </c:cat>
          <c:val>
            <c:numRef>
              <c:f>Dashboard!$E$15:$E$20</c:f>
              <c:numCache>
                <c:formatCode>_-[$$-409]* #\ ##0.00_ ;_-[$$-409]* \-#\ ##0.00\ ;_-[$$-409]* "-"??_ ;_-@_ </c:formatCode>
                <c:ptCount val="6"/>
                <c:pt idx="0">
                  <c:v>8887.4</c:v>
                </c:pt>
                <c:pt idx="1">
                  <c:v>8456.14</c:v>
                </c:pt>
                <c:pt idx="2">
                  <c:v>7430.49999999999</c:v>
                </c:pt>
                <c:pt idx="3">
                  <c:v>10171.434999999996</c:v>
                </c:pt>
                <c:pt idx="4">
                  <c:v>10158.719999999999</c:v>
                </c:pt>
                <c:pt idx="5">
                  <c:v>5080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9D-AA49-9AE2-59AEDE526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U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U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Unrealized Gain/Loss by Holding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Dashboard!$A$15:$A$20</c:f>
              <c:strCache>
                <c:ptCount val="6"/>
                <c:pt idx="0">
                  <c:v>AAPL</c:v>
                </c:pt>
                <c:pt idx="1">
                  <c:v>MSFT</c:v>
                </c:pt>
                <c:pt idx="2">
                  <c:v>BTC</c:v>
                </c:pt>
                <c:pt idx="3">
                  <c:v>ETH</c:v>
                </c:pt>
                <c:pt idx="4">
                  <c:v>TON</c:v>
                </c:pt>
                <c:pt idx="5">
                  <c:v>USDT</c:v>
                </c:pt>
              </c:strCache>
            </c:strRef>
          </c:cat>
          <c:val>
            <c:numRef>
              <c:f>Dashboard!$F$15:$F$20</c:f>
              <c:numCache>
                <c:formatCode>_-[$$-409]* #\ ##0.00_ ;_-[$$-409]* \-#\ ##0.00\ ;_-[$$-409]* "-"??_ ;_-@_ </c:formatCode>
                <c:ptCount val="6"/>
                <c:pt idx="0">
                  <c:v>-10.571428571428271</c:v>
                </c:pt>
                <c:pt idx="1">
                  <c:v>-9.1666666666670835</c:v>
                </c:pt>
                <c:pt idx="2">
                  <c:v>10.396226415093393</c:v>
                </c:pt>
                <c:pt idx="3">
                  <c:v>-35.810937499999994</c:v>
                </c:pt>
                <c:pt idx="4">
                  <c:v>1.7750138811764913</c:v>
                </c:pt>
                <c:pt idx="5">
                  <c:v>-13.000000000000203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88-2347-9225-25B1ABE74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72838079"/>
        <c:axId val="72839871"/>
      </c:barChart>
      <c:catAx>
        <c:axId val="7283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UA"/>
          </a:p>
        </c:txPr>
        <c:crossAx val="72839871"/>
        <c:crosses val="autoZero"/>
        <c:auto val="1"/>
        <c:lblAlgn val="ctr"/>
        <c:lblOffset val="100"/>
        <c:noMultiLvlLbl val="0"/>
      </c:catAx>
      <c:valAx>
        <c:axId val="72839871"/>
        <c:scaling>
          <c:orientation val="minMax"/>
        </c:scaling>
        <c:delete val="0"/>
        <c:axPos val="l"/>
        <c:numFmt formatCode="_-[$$-409]* #\ ##0.00_ ;_-[$$-409]* \-#\ 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UA"/>
          </a:p>
        </c:txPr>
        <c:crossAx val="72838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12700</xdr:rowOff>
    </xdr:from>
    <xdr:to>
      <xdr:col>5</xdr:col>
      <xdr:colOff>0</xdr:colOff>
      <xdr:row>36</xdr:row>
      <xdr:rowOff>190500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C134555-E6E8-D71E-B9A8-246782AC4B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23</xdr:row>
      <xdr:rowOff>12700</xdr:rowOff>
    </xdr:from>
    <xdr:to>
      <xdr:col>12</xdr:col>
      <xdr:colOff>0</xdr:colOff>
      <xdr:row>36</xdr:row>
      <xdr:rowOff>190500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AAF0E5B-E4FD-6EF7-DE9D-EDEB796342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12700</xdr:rowOff>
        </xdr:from>
        <xdr:to>
          <xdr:col>11</xdr:col>
          <xdr:colOff>12700</xdr:colOff>
          <xdr:row>15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Refresh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12700</xdr:rowOff>
        </xdr:from>
        <xdr:to>
          <xdr:col>11</xdr:col>
          <xdr:colOff>12700</xdr:colOff>
          <xdr:row>20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0</xdr:rowOff>
        </xdr:from>
        <xdr:to>
          <xdr:col>16</xdr:col>
          <xdr:colOff>12700</xdr:colOff>
          <xdr:row>14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Add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190500</xdr:rowOff>
        </xdr:from>
        <xdr:to>
          <xdr:col>16</xdr:col>
          <xdr:colOff>12700</xdr:colOff>
          <xdr:row>17</xdr:row>
          <xdr:rowOff>25400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275A7F-BD00-654F-B55E-6105A95DACD4}" name="tblTransactions" displayName="tblTransactions" ref="A1:M35" totalsRowShown="0" headerRowDxfId="7">
  <autoFilter ref="A1:M35" xr:uid="{87275A7F-BD00-654F-B55E-6105A95DACD4}"/>
  <tableColumns count="13">
    <tableColumn id="1" xr3:uid="{ACAA48F4-9B4A-8C48-B4C0-6971550F197D}" name="Date" dataDxfId="6"/>
    <tableColumn id="2" xr3:uid="{214E8D23-3010-7E4C-9C48-C1DA4792A68E}" name="Ticker"/>
    <tableColumn id="3" xr3:uid="{9F90C005-2D9E-AE43-8386-534EAC3E21F5}" name="Asset Type"/>
    <tableColumn id="4" xr3:uid="{62E707FA-E2F7-5549-9AD9-48E971859836}" name="Action"/>
    <tableColumn id="5" xr3:uid="{10F42F6D-8E23-7A42-B38E-7D062834F9C7}" name="Quantity"/>
    <tableColumn id="6" xr3:uid="{23885C88-D2F2-2B4A-82DA-DC1DA591D2B9}" name="Price per Unit" dataDxfId="5" dataCellStyle="Денежный"/>
    <tableColumn id="7" xr3:uid="{C66F073C-725E-FD47-B313-DCA665113AD0}" name="Total Amount" dataDxfId="4" dataCellStyle="Денежный">
      <calculatedColumnFormula>E2*F2</calculatedColumnFormula>
    </tableColumn>
    <tableColumn id="8" xr3:uid="{6428E04F-8465-6144-8398-6183A1460DF4}" name="Broker Fee" dataDxfId="3" dataCellStyle="Денежный"/>
    <tableColumn id="9" xr3:uid="{C52E7550-6630-704B-BFDE-A92EA1C72624}" name="Net Cash Flow" dataDxfId="2" dataCellStyle="Денежный">
      <calculatedColumnFormula>IF(UPPER(D2)="SELL",G2-H2,G2+H2)</calculatedColumnFormula>
    </tableColumn>
    <tableColumn id="13" xr3:uid="{758D7675-9DC4-7C40-8896-CE98B5D16656}" name="Avg Cost Before Sale" dataDxfId="1" dataCellStyle="Денежный">
      <calculatedColumnFormula array="1">IFERROR(IF($D2="Buy",((SUMIFS($E$1:$E1,$B$1:$B1,$B2,$D$1:$D1,"Buy")-SUMIFS($E$1:$E1,$B$1:$B1,$B2,$D$1:$D1,"Sell"))*_xlfn.XLOOKUP($B2,$B$1:$B1,$J$1:$J1,0,0,-1)+$I2)/((SUMIFS($E$1:$E1,$B$1:$B1,$B2,$D$1:$D1,"Buy")-SUMIFS($E$1:$E1,$B$1:$B1,$B2,$D$1:$D1,"Sell"))+$E2),_xlfn.XLOOKUP($B2,$B$1:$B1,$J$1:$J1,0,0,-1)),0)</calculatedColumnFormula>
    </tableColumn>
    <tableColumn id="12" xr3:uid="{F8F70EE2-DCB8-C043-8B81-1A877D595B08}" name="Realized G/L" dataDxfId="0" dataCellStyle="Денежный">
      <calculatedColumnFormula>IF($D2="Sell",$I2-($E2*$J2),"")</calculatedColumnFormula>
    </tableColumn>
    <tableColumn id="10" xr3:uid="{B6A555FA-EF42-9E4D-86CB-B7EA7DCF9F93}" name="Account"/>
    <tableColumn id="11" xr3:uid="{C49D0CBD-AFBF-FB43-9517-BADDD9144CAE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B7FAF-7CAA-4D4A-882E-98BAC8DC4E67}">
  <sheetPr codeName="Лист1"/>
  <dimension ref="A1:L67"/>
  <sheetViews>
    <sheetView zoomScale="92" workbookViewId="0">
      <selection activeCell="E58" sqref="E58:F58"/>
    </sheetView>
  </sheetViews>
  <sheetFormatPr baseColWidth="10" defaultRowHeight="16" x14ac:dyDescent="0.2"/>
  <cols>
    <col min="1" max="2" width="17" customWidth="1"/>
    <col min="3" max="4" width="16.83203125" customWidth="1"/>
    <col min="5" max="7" width="17" customWidth="1"/>
    <col min="8" max="10" width="16.83203125" customWidth="1"/>
    <col min="11" max="11" width="17" customWidth="1"/>
    <col min="12" max="12" width="16.83203125" customWidth="1"/>
  </cols>
  <sheetData>
    <row r="1" spans="1:12" x14ac:dyDescent="0.2">
      <c r="A1" s="40" t="s">
        <v>42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</row>
    <row r="2" spans="1:12" x14ac:dyDescent="0.2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</row>
    <row r="3" spans="1:12" x14ac:dyDescent="0.2">
      <c r="A3" s="32" t="s">
        <v>29</v>
      </c>
      <c r="B3" s="33">
        <v>46145.037083333336</v>
      </c>
    </row>
    <row r="5" spans="1:12" ht="22" x14ac:dyDescent="0.3">
      <c r="A5" s="39" t="s">
        <v>90</v>
      </c>
      <c r="B5" s="39"/>
      <c r="C5" s="39"/>
      <c r="E5" s="39" t="s">
        <v>38</v>
      </c>
      <c r="F5" s="39"/>
      <c r="G5" s="39"/>
      <c r="I5" s="39" t="s">
        <v>43</v>
      </c>
      <c r="J5" s="39"/>
      <c r="K5" s="39"/>
    </row>
    <row r="6" spans="1:12" ht="19" x14ac:dyDescent="0.2">
      <c r="A6" s="41">
        <f>Summary!B3</f>
        <v>50141.72</v>
      </c>
      <c r="B6" s="41"/>
      <c r="C6" s="41"/>
      <c r="E6" s="41">
        <f>Summary!B4</f>
        <v>50184.194999999985</v>
      </c>
      <c r="F6" s="41"/>
      <c r="G6" s="41"/>
      <c r="I6" s="41">
        <f>Summary!B6</f>
        <v>-56.377792441825662</v>
      </c>
      <c r="J6" s="41"/>
      <c r="K6" s="41"/>
    </row>
    <row r="9" spans="1:12" ht="22" x14ac:dyDescent="0.3">
      <c r="A9" s="39" t="s">
        <v>39</v>
      </c>
      <c r="B9" s="39"/>
      <c r="C9" s="39"/>
      <c r="E9" s="39" t="s">
        <v>40</v>
      </c>
      <c r="F9" s="39"/>
      <c r="G9" s="39"/>
      <c r="I9" s="39" t="s">
        <v>41</v>
      </c>
      <c r="J9" s="39"/>
      <c r="K9" s="39"/>
    </row>
    <row r="10" spans="1:12" ht="19" x14ac:dyDescent="0.2">
      <c r="A10" s="35">
        <f>Summary!B8</f>
        <v>6</v>
      </c>
      <c r="B10" s="35"/>
      <c r="C10" s="35"/>
      <c r="E10" s="35" t="str">
        <f>Summary!B11</f>
        <v>BTC</v>
      </c>
      <c r="F10" s="35"/>
      <c r="G10" s="35"/>
      <c r="I10" s="35" t="str">
        <f>Summary!B12</f>
        <v>ETH</v>
      </c>
      <c r="J10" s="35"/>
      <c r="K10" s="35"/>
    </row>
    <row r="13" spans="1:12" x14ac:dyDescent="0.2">
      <c r="A13" s="36" t="s">
        <v>44</v>
      </c>
      <c r="B13" s="36"/>
      <c r="C13" s="36"/>
      <c r="D13" s="36"/>
      <c r="E13" s="36"/>
      <c r="F13" s="36"/>
    </row>
    <row r="14" spans="1:12" x14ac:dyDescent="0.2">
      <c r="A14" s="12" t="s">
        <v>1</v>
      </c>
      <c r="B14" s="12" t="s">
        <v>2</v>
      </c>
      <c r="C14" s="12" t="s">
        <v>24</v>
      </c>
      <c r="D14" s="12" t="s">
        <v>26</v>
      </c>
      <c r="E14" s="12" t="s">
        <v>27</v>
      </c>
      <c r="F14" s="12" t="s">
        <v>123</v>
      </c>
    </row>
    <row r="15" spans="1:12" x14ac:dyDescent="0.2">
      <c r="A15" s="9" t="str">
        <f>Holdings!A2</f>
        <v>AAPL</v>
      </c>
      <c r="B15" s="9" t="str">
        <f>Holdings!B2</f>
        <v>Stock</v>
      </c>
      <c r="C15" s="10">
        <f>Holdings!E2</f>
        <v>37</v>
      </c>
      <c r="D15" s="11">
        <f>Holdings!G2</f>
        <v>240.2</v>
      </c>
      <c r="E15" s="11">
        <f>Holdings!H2</f>
        <v>8887.4</v>
      </c>
      <c r="F15" s="11">
        <f>Holdings!I2</f>
        <v>-10.571428571428271</v>
      </c>
    </row>
    <row r="16" spans="1:12" x14ac:dyDescent="0.2">
      <c r="A16" s="9" t="str">
        <f>Holdings!A3</f>
        <v>MSFT</v>
      </c>
      <c r="B16" s="9" t="str">
        <f>Holdings!B3</f>
        <v>Stock</v>
      </c>
      <c r="C16" s="10">
        <f>Holdings!E3</f>
        <v>22</v>
      </c>
      <c r="D16" s="11">
        <f>Holdings!G3</f>
        <v>384.37</v>
      </c>
      <c r="E16" s="11">
        <f>Holdings!H3</f>
        <v>8456.14</v>
      </c>
      <c r="F16" s="11">
        <f>Holdings!I3</f>
        <v>-9.1666666666670835</v>
      </c>
    </row>
    <row r="17" spans="1:12" x14ac:dyDescent="0.2">
      <c r="A17" s="9" t="str">
        <f>Holdings!A4</f>
        <v>BTC</v>
      </c>
      <c r="B17" s="9" t="str">
        <f>Holdings!B4</f>
        <v>Crypto</v>
      </c>
      <c r="C17" s="10">
        <f>Holdings!E4</f>
        <v>9.9999999999999867E-2</v>
      </c>
      <c r="D17" s="11">
        <f>Holdings!G4</f>
        <v>74305</v>
      </c>
      <c r="E17" s="11">
        <f>Holdings!H4</f>
        <v>7430.49999999999</v>
      </c>
      <c r="F17" s="11">
        <f>Holdings!I4</f>
        <v>10.396226415093393</v>
      </c>
    </row>
    <row r="18" spans="1:12" x14ac:dyDescent="0.2">
      <c r="A18" s="9" t="str">
        <f>Holdings!A5</f>
        <v>ETH</v>
      </c>
      <c r="B18" s="9" t="str">
        <f>Holdings!B5</f>
        <v>Crypto</v>
      </c>
      <c r="C18" s="10">
        <f>Holdings!E5</f>
        <v>4.2999999999999989</v>
      </c>
      <c r="D18" s="11">
        <f>Holdings!G5</f>
        <v>2365.4499999999998</v>
      </c>
      <c r="E18" s="11">
        <f>Holdings!H5</f>
        <v>10171.434999999996</v>
      </c>
      <c r="F18" s="11">
        <f>Holdings!I5</f>
        <v>-35.810937499999994</v>
      </c>
    </row>
    <row r="19" spans="1:12" x14ac:dyDescent="0.2">
      <c r="A19" s="9" t="str">
        <f>Holdings!A6</f>
        <v>TON</v>
      </c>
      <c r="B19" s="9" t="str">
        <f>Holdings!B6</f>
        <v>Crypto</v>
      </c>
      <c r="C19" s="10">
        <f>Holdings!E6</f>
        <v>7104</v>
      </c>
      <c r="D19" s="11">
        <f>Holdings!G6</f>
        <v>1.43</v>
      </c>
      <c r="E19" s="11">
        <f>Holdings!H6</f>
        <v>10158.719999999999</v>
      </c>
      <c r="F19" s="11">
        <f>Holdings!I6</f>
        <v>1.7750138811764913</v>
      </c>
    </row>
    <row r="20" spans="1:12" x14ac:dyDescent="0.2">
      <c r="A20" s="9" t="str">
        <f>Holdings!A7</f>
        <v>USDT</v>
      </c>
      <c r="B20" s="9" t="str">
        <f>Holdings!B7</f>
        <v>Crypto</v>
      </c>
      <c r="C20" s="10">
        <f>Holdings!E7</f>
        <v>5080</v>
      </c>
      <c r="D20" s="11">
        <f>Holdings!G7</f>
        <v>1</v>
      </c>
      <c r="E20" s="11">
        <f>Holdings!H7</f>
        <v>5080</v>
      </c>
      <c r="F20" s="11">
        <f>Holdings!I7</f>
        <v>-13.000000000000203</v>
      </c>
    </row>
    <row r="23" spans="1:12" x14ac:dyDescent="0.2">
      <c r="A23" s="38" t="s">
        <v>46</v>
      </c>
      <c r="B23" s="38"/>
      <c r="C23" s="38"/>
      <c r="D23" s="38"/>
      <c r="E23" s="38"/>
      <c r="G23" s="38" t="s">
        <v>45</v>
      </c>
      <c r="H23" s="38"/>
      <c r="I23" s="38"/>
      <c r="J23" s="38"/>
      <c r="K23" s="38"/>
      <c r="L23" s="38"/>
    </row>
    <row r="40" spans="1:11" x14ac:dyDescent="0.2">
      <c r="A40" s="36" t="s">
        <v>47</v>
      </c>
      <c r="B40" s="36"/>
      <c r="C40" s="36"/>
      <c r="E40" s="36" t="s">
        <v>80</v>
      </c>
      <c r="F40" s="36"/>
      <c r="G40" s="36"/>
      <c r="I40" s="36" t="s">
        <v>81</v>
      </c>
      <c r="J40" s="36"/>
      <c r="K40" s="36"/>
    </row>
    <row r="41" spans="1:11" x14ac:dyDescent="0.2">
      <c r="A41" s="35" t="str">
        <f>Summary!B9</f>
        <v>ETH</v>
      </c>
      <c r="B41" s="35"/>
      <c r="C41" s="35"/>
      <c r="E41" s="37">
        <f>Summary!B10</f>
        <v>0.20268203963419157</v>
      </c>
      <c r="F41" s="35"/>
      <c r="G41" s="35"/>
      <c r="I41" s="35" t="str">
        <f>Summary!B15</f>
        <v>Good</v>
      </c>
      <c r="J41" s="35"/>
      <c r="K41" s="35"/>
    </row>
    <row r="42" spans="1:11" x14ac:dyDescent="0.2">
      <c r="A42" s="35"/>
      <c r="B42" s="35"/>
      <c r="C42" s="35"/>
      <c r="E42" s="35"/>
      <c r="F42" s="35"/>
      <c r="G42" s="35"/>
      <c r="I42" s="35"/>
      <c r="J42" s="35"/>
      <c r="K42" s="35"/>
    </row>
    <row r="44" spans="1:11" x14ac:dyDescent="0.2">
      <c r="A44" s="36" t="s">
        <v>64</v>
      </c>
      <c r="B44" s="36"/>
      <c r="C44" s="36"/>
      <c r="E44" s="36" t="s">
        <v>65</v>
      </c>
      <c r="F44" s="36"/>
      <c r="G44" s="36"/>
      <c r="I44" s="36" t="s">
        <v>66</v>
      </c>
      <c r="J44" s="36"/>
      <c r="K44" s="36"/>
    </row>
    <row r="45" spans="1:11" x14ac:dyDescent="0.2">
      <c r="A45" s="41">
        <f>SUM(Holdings!$M$2:$M$100)</f>
        <v>371.49499999999875</v>
      </c>
      <c r="B45" s="41"/>
      <c r="C45" s="41"/>
      <c r="E45" s="37">
        <f>IF(Summary!$B$4=0,0,SUM(Holdings!$M$2:$M$100)/Summary!$B$4)</f>
        <v>7.4026294533567566E-3</v>
      </c>
      <c r="F45" s="37"/>
      <c r="G45" s="37"/>
      <c r="I45" s="41">
        <f>SUMIF(Holdings!$B$2:$B$100,"Stock",Holdings!$H$2:$H$100)</f>
        <v>17343.54</v>
      </c>
      <c r="J45" s="41"/>
      <c r="K45" s="41"/>
    </row>
    <row r="46" spans="1:11" x14ac:dyDescent="0.2">
      <c r="A46" s="41"/>
      <c r="B46" s="41"/>
      <c r="C46" s="41"/>
      <c r="E46" s="37"/>
      <c r="F46" s="37"/>
      <c r="G46" s="37"/>
      <c r="I46" s="41"/>
      <c r="J46" s="41"/>
      <c r="K46" s="41"/>
    </row>
    <row r="48" spans="1:11" x14ac:dyDescent="0.2">
      <c r="A48" s="36" t="s">
        <v>67</v>
      </c>
      <c r="B48" s="36"/>
      <c r="C48" s="36"/>
      <c r="E48" s="36" t="s">
        <v>68</v>
      </c>
      <c r="F48" s="36"/>
      <c r="G48" s="36"/>
      <c r="I48" s="36" t="s">
        <v>69</v>
      </c>
      <c r="J48" s="36"/>
      <c r="K48" s="36"/>
    </row>
    <row r="49" spans="1:12" x14ac:dyDescent="0.2">
      <c r="A49" s="41">
        <f>SUMIF(Holdings!$B$2:$B$100,"Crypto",Holdings!$H$2:$H$100)</f>
        <v>32840.654999999984</v>
      </c>
      <c r="B49" s="41"/>
      <c r="C49" s="41"/>
      <c r="E49" s="37">
        <f>IF(Summary!$B$4=0,0,SUMIF(Holdings!$B$2:$B$100,"Stock",Holdings!$H$2:$H$100)/Summary!$B$4)</f>
        <v>0.34559765280682508</v>
      </c>
      <c r="F49" s="37"/>
      <c r="G49" s="37"/>
      <c r="I49" s="37">
        <f>IF(Summary!$B$4=0,0,SUMIF(Holdings!$B$2:$B$100,"Crypto",Holdings!$H$2:$H$100)/Summary!$B$4)</f>
        <v>0.65440234719317492</v>
      </c>
      <c r="J49" s="37"/>
      <c r="K49" s="37"/>
    </row>
    <row r="50" spans="1:12" x14ac:dyDescent="0.2">
      <c r="A50" s="41"/>
      <c r="B50" s="41"/>
      <c r="C50" s="41"/>
      <c r="E50" s="37"/>
      <c r="F50" s="37"/>
      <c r="G50" s="37"/>
      <c r="I50" s="37"/>
      <c r="J50" s="37"/>
      <c r="K50" s="37"/>
    </row>
    <row r="53" spans="1:12" x14ac:dyDescent="0.2">
      <c r="A53" s="42" t="s">
        <v>101</v>
      </c>
      <c r="B53" s="42"/>
      <c r="C53" s="42"/>
      <c r="D53" s="42"/>
      <c r="E53" s="42"/>
      <c r="F53" s="42"/>
      <c r="G53" s="42"/>
      <c r="H53" s="42"/>
      <c r="I53" s="42"/>
      <c r="J53" s="42"/>
      <c r="K53" s="42"/>
    </row>
    <row r="54" spans="1:12" x14ac:dyDescent="0.2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</row>
    <row r="55" spans="1:12" x14ac:dyDescent="0.2">
      <c r="A55" s="34" t="s">
        <v>124</v>
      </c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27"/>
    </row>
    <row r="56" spans="1:12" ht="16" customHeight="1" x14ac:dyDescent="0.2">
      <c r="A56" s="43" t="s">
        <v>2</v>
      </c>
      <c r="B56" s="43"/>
      <c r="C56" s="43" t="s">
        <v>97</v>
      </c>
      <c r="D56" s="43"/>
      <c r="E56" s="43" t="s">
        <v>60</v>
      </c>
      <c r="F56" s="43"/>
      <c r="G56" s="43" t="s">
        <v>99</v>
      </c>
      <c r="H56" s="43"/>
      <c r="I56" s="43" t="s">
        <v>98</v>
      </c>
      <c r="J56" s="43"/>
      <c r="K56" s="43"/>
      <c r="L56" s="27"/>
    </row>
    <row r="57" spans="1:12" ht="16" customHeight="1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27"/>
    </row>
    <row r="58" spans="1:12" x14ac:dyDescent="0.2">
      <c r="A58" s="46" t="s">
        <v>100</v>
      </c>
      <c r="B58" s="46"/>
      <c r="C58" s="48">
        <f>E49</f>
        <v>0.34559765280682508</v>
      </c>
      <c r="D58" s="48"/>
      <c r="E58" s="48">
        <v>0.4</v>
      </c>
      <c r="F58" s="48"/>
      <c r="G58" s="48">
        <f>C58-E58</f>
        <v>-5.4402347193174938E-2</v>
      </c>
      <c r="H58" s="48"/>
      <c r="I58" s="46" t="str">
        <f>IF(G58&lt;-5%,"Increase stock exposure",IF(G58&gt;5%,"Reduce stock exposure","Close to target"))</f>
        <v>Increase stock exposure</v>
      </c>
      <c r="J58" s="46"/>
      <c r="K58" s="46"/>
      <c r="L58" s="27"/>
    </row>
    <row r="59" spans="1:12" x14ac:dyDescent="0.2">
      <c r="A59" s="46" t="s">
        <v>12</v>
      </c>
      <c r="B59" s="46"/>
      <c r="C59" s="48">
        <f>I49</f>
        <v>0.65440234719317492</v>
      </c>
      <c r="D59" s="48"/>
      <c r="E59" s="48">
        <v>0.6</v>
      </c>
      <c r="F59" s="48"/>
      <c r="G59" s="48">
        <f>C59-E59</f>
        <v>5.4402347193174938E-2</v>
      </c>
      <c r="H59" s="48"/>
      <c r="I59" s="47" t="str">
        <f>IF(G59&lt;-5%,"Increase crypto exposure",IF(G59&gt;5%,"Reduce crypto exposure","Close to target"))</f>
        <v>Reduce crypto exposure</v>
      </c>
      <c r="J59" s="47"/>
      <c r="K59" s="47"/>
      <c r="L59" s="27"/>
    </row>
    <row r="60" spans="1:12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</row>
    <row r="61" spans="1:12" ht="16" customHeight="1" x14ac:dyDescent="0.2">
      <c r="A61" s="27"/>
      <c r="B61" s="27"/>
      <c r="C61" s="27"/>
      <c r="D61" s="44" t="s">
        <v>96</v>
      </c>
      <c r="E61" s="44"/>
      <c r="F61" s="45" t="str">
        <f>IF(Summary!B10&gt;40%,"Portfolio is highly concentrated in one asset",IF(I49&gt;70%,"Portfolio is heavily weighted toward crypto","Portfolio allocation looks balanced"))</f>
        <v>Portfolio allocation looks balanced</v>
      </c>
      <c r="G61" s="45"/>
      <c r="H61" s="27"/>
      <c r="I61" s="27"/>
      <c r="J61" s="27"/>
      <c r="K61" s="27"/>
      <c r="L61" s="27"/>
    </row>
    <row r="62" spans="1:12" ht="16" customHeight="1" x14ac:dyDescent="0.2">
      <c r="A62" s="27"/>
      <c r="B62" s="27"/>
      <c r="C62" s="27"/>
      <c r="D62" s="44"/>
      <c r="E62" s="44"/>
      <c r="F62" s="45"/>
      <c r="G62" s="45"/>
      <c r="H62" s="27"/>
      <c r="I62" s="27"/>
      <c r="J62" s="27"/>
      <c r="K62" s="27"/>
      <c r="L62" s="27"/>
    </row>
    <row r="63" spans="1:12" ht="16" customHeight="1" x14ac:dyDescent="0.2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</row>
    <row r="64" spans="1:12" ht="16" customHeight="1" x14ac:dyDescent="0.2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</row>
    <row r="65" spans="1:12" x14ac:dyDescent="0.2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</row>
    <row r="66" spans="1:12" x14ac:dyDescent="0.2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</row>
    <row r="67" spans="1:12" x14ac:dyDescent="0.2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</row>
  </sheetData>
  <mergeCells count="53">
    <mergeCell ref="D61:E62"/>
    <mergeCell ref="F61:G62"/>
    <mergeCell ref="I58:K58"/>
    <mergeCell ref="I59:K59"/>
    <mergeCell ref="A58:B58"/>
    <mergeCell ref="C58:D58"/>
    <mergeCell ref="E58:F58"/>
    <mergeCell ref="G58:H58"/>
    <mergeCell ref="G59:H59"/>
    <mergeCell ref="E59:F59"/>
    <mergeCell ref="C59:D59"/>
    <mergeCell ref="A59:B59"/>
    <mergeCell ref="E49:G50"/>
    <mergeCell ref="I48:K48"/>
    <mergeCell ref="I49:K50"/>
    <mergeCell ref="A56:B57"/>
    <mergeCell ref="C56:D57"/>
    <mergeCell ref="E56:F57"/>
    <mergeCell ref="G56:H57"/>
    <mergeCell ref="I56:K57"/>
    <mergeCell ref="A1:L2"/>
    <mergeCell ref="A5:C5"/>
    <mergeCell ref="A6:C6"/>
    <mergeCell ref="E5:G5"/>
    <mergeCell ref="E6:G6"/>
    <mergeCell ref="I5:K5"/>
    <mergeCell ref="I6:K6"/>
    <mergeCell ref="A13:F13"/>
    <mergeCell ref="A23:E23"/>
    <mergeCell ref="G23:L23"/>
    <mergeCell ref="A40:C40"/>
    <mergeCell ref="A9:C9"/>
    <mergeCell ref="A10:C10"/>
    <mergeCell ref="E9:G9"/>
    <mergeCell ref="E10:G10"/>
    <mergeCell ref="I9:K9"/>
    <mergeCell ref="I10:K10"/>
    <mergeCell ref="A55:K55"/>
    <mergeCell ref="A41:C42"/>
    <mergeCell ref="E40:G40"/>
    <mergeCell ref="E41:G42"/>
    <mergeCell ref="I40:K40"/>
    <mergeCell ref="I41:K42"/>
    <mergeCell ref="A44:C44"/>
    <mergeCell ref="A45:C46"/>
    <mergeCell ref="E44:G44"/>
    <mergeCell ref="E45:G46"/>
    <mergeCell ref="I44:K44"/>
    <mergeCell ref="I45:K46"/>
    <mergeCell ref="A53:K54"/>
    <mergeCell ref="A48:C48"/>
    <mergeCell ref="A49:C50"/>
    <mergeCell ref="E48:G48"/>
  </mergeCells>
  <pageMargins left="0.7" right="0.7" top="0.75" bottom="0.75" header="0.3" footer="0.3"/>
  <ignoredErrors>
    <ignoredError xmlns:x16r3="http://schemas.microsoft.com/office/spreadsheetml/2018/08/main" sqref="D15:F20" x16r3:misleadingForma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efreshPortfolioButton">
                <anchor moveWithCells="1" sizeWithCells="1">
                  <from>
                    <xdr:col>8</xdr:col>
                    <xdr:colOff>0</xdr:colOff>
                    <xdr:row>12</xdr:row>
                    <xdr:rowOff>12700</xdr:rowOff>
                  </from>
                  <to>
                    <xdr:col>11</xdr:col>
                    <xdr:colOff>12700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aveSnapshot">
                <anchor moveWithCells="1" sizeWithCells="1">
                  <from>
                    <xdr:col>8</xdr:col>
                    <xdr:colOff>0</xdr:colOff>
                    <xdr:row>17</xdr:row>
                    <xdr:rowOff>12700</xdr:rowOff>
                  </from>
                  <to>
                    <xdr:col>11</xdr:col>
                    <xdr:colOff>12700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19635-CEB5-0346-A475-54090CB00E8D}">
  <sheetPr codeName="Лист2"/>
  <dimension ref="A1:R38"/>
  <sheetViews>
    <sheetView tabSelected="1" workbookViewId="0">
      <selection activeCell="P22" sqref="P22"/>
    </sheetView>
  </sheetViews>
  <sheetFormatPr baseColWidth="10" defaultRowHeight="16" x14ac:dyDescent="0.2"/>
  <cols>
    <col min="1" max="1" width="11.6640625" style="3" customWidth="1"/>
    <col min="3" max="3" width="12.33203125" customWidth="1"/>
    <col min="6" max="6" width="15.1640625" style="7" customWidth="1"/>
    <col min="7" max="7" width="15" style="7" customWidth="1"/>
    <col min="8" max="8" width="13.5" style="7" customWidth="1"/>
    <col min="9" max="9" width="16.6640625" style="7" customWidth="1"/>
    <col min="10" max="10" width="21.5" style="7" customWidth="1"/>
    <col min="11" max="11" width="15" style="7" customWidth="1"/>
    <col min="12" max="12" width="13" customWidth="1"/>
    <col min="13" max="13" width="15" customWidth="1"/>
    <col min="15" max="15" width="18.6640625" customWidth="1"/>
    <col min="16" max="16" width="18.1640625" customWidth="1"/>
    <col min="17" max="18" width="10.83203125" customWidth="1"/>
  </cols>
  <sheetData>
    <row r="1" spans="1:18" x14ac:dyDescent="0.2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25" t="s">
        <v>93</v>
      </c>
      <c r="K1" s="25" t="s">
        <v>94</v>
      </c>
      <c r="L1" s="1" t="s">
        <v>9</v>
      </c>
      <c r="M1" s="1" t="s">
        <v>10</v>
      </c>
    </row>
    <row r="2" spans="1:18" x14ac:dyDescent="0.2">
      <c r="A2" s="4">
        <v>46126</v>
      </c>
      <c r="B2" s="1" t="s">
        <v>32</v>
      </c>
      <c r="C2" s="1" t="s">
        <v>12</v>
      </c>
      <c r="D2" s="1" t="s">
        <v>15</v>
      </c>
      <c r="E2" s="1">
        <v>0.08</v>
      </c>
      <c r="F2" s="6">
        <v>74305</v>
      </c>
      <c r="G2" s="6">
        <f t="shared" ref="G2:G11" si="0">E2*F2</f>
        <v>5944.4000000000005</v>
      </c>
      <c r="H2" s="6">
        <v>10</v>
      </c>
      <c r="I2" s="6">
        <f t="shared" ref="I2:I21" si="1">IF(UPPER(D2)="SELL",G2-H2,G2+H2)</f>
        <v>5954.4000000000005</v>
      </c>
      <c r="J2" s="25" cm="1">
        <f t="array" ref="J2">IFERROR(IF($D2="Buy",((SUMIFS($E$1:$E1,$B$1:$B1,$B2,$D$1:$D1,"Buy")-SUMIFS($E$1:$E1,$B$1:$B1,$B2,$D$1:$D1,"Sell"))*_xlfn.XLOOKUP($B2,$B$1:$B1,$J$1:$J1,0,0,-1)+$I2)/((SUMIFS($E$1:$E1,$B$1:$B1,$B2,$D$1:$D1,"Buy")-SUMIFS($E$1:$E1,$B$1:$B1,$B2,$D$1:$D1,"Sell"))+$E2),_xlfn.XLOOKUP($B2,$B$1:$B1,$J$1:$J1,0,0,-1)),0)</f>
        <v>74430</v>
      </c>
      <c r="K2" s="6" t="str">
        <f t="shared" ref="K2:K22" si="2">IF($D2="Sell",$I2-($E2*$J2),"")</f>
        <v/>
      </c>
      <c r="L2" s="1" t="s">
        <v>49</v>
      </c>
      <c r="M2" s="1" t="s">
        <v>70</v>
      </c>
      <c r="O2" s="49" t="s">
        <v>48</v>
      </c>
      <c r="P2" s="49"/>
      <c r="Q2" s="26"/>
      <c r="R2" s="26"/>
    </row>
    <row r="3" spans="1:18" x14ac:dyDescent="0.2">
      <c r="A3" s="4">
        <v>46126</v>
      </c>
      <c r="B3" s="1" t="s">
        <v>30</v>
      </c>
      <c r="C3" s="1" t="s">
        <v>11</v>
      </c>
      <c r="D3" s="1" t="s">
        <v>15</v>
      </c>
      <c r="E3" s="1">
        <v>12</v>
      </c>
      <c r="F3" s="6">
        <v>240.2</v>
      </c>
      <c r="G3" s="6">
        <f t="shared" si="0"/>
        <v>2882.3999999999996</v>
      </c>
      <c r="H3" s="6">
        <v>5</v>
      </c>
      <c r="I3" s="6">
        <f t="shared" si="1"/>
        <v>2887.3999999999996</v>
      </c>
      <c r="J3" s="6" cm="1">
        <f t="array" ref="J3">IFERROR(IF($D3="Buy",((SUMIFS($E$1:$E2,$B$1:$B2,$B3,$D$1:$D2,"Buy")-SUMIFS($E$1:$E2,$B$1:$B2,$B3,$D$1:$D2,"Sell"))*_xlfn.XLOOKUP($B3,$B$1:$B2,$J$1:$J2,0,0,-1)+$I3)/((SUMIFS($E$1:$E2,$B$1:$B2,$B3,$D$1:$D2,"Buy")-SUMIFS($E$1:$E2,$B$1:$B2,$B3,$D$1:$D2,"Sell"))+$E3),_xlfn.XLOOKUP($B3,$B$1:$B2,$J$1:$J2,0,0,-1)),0)</f>
        <v>240.61666666666665</v>
      </c>
      <c r="K3" s="6" t="str">
        <f t="shared" si="2"/>
        <v/>
      </c>
      <c r="L3" s="1" t="s">
        <v>49</v>
      </c>
      <c r="M3" s="1" t="s">
        <v>71</v>
      </c>
      <c r="O3" s="13" t="s">
        <v>0</v>
      </c>
      <c r="P3" s="14">
        <v>46145</v>
      </c>
      <c r="R3" s="3"/>
    </row>
    <row r="4" spans="1:18" x14ac:dyDescent="0.2">
      <c r="A4" s="4">
        <v>46126</v>
      </c>
      <c r="B4" s="1" t="s">
        <v>33</v>
      </c>
      <c r="C4" s="1" t="s">
        <v>12</v>
      </c>
      <c r="D4" s="1" t="s">
        <v>15</v>
      </c>
      <c r="E4" s="1">
        <v>1.2</v>
      </c>
      <c r="F4" s="6">
        <v>2365.4499999999998</v>
      </c>
      <c r="G4" s="6">
        <f t="shared" si="0"/>
        <v>2838.5399999999995</v>
      </c>
      <c r="H4" s="6">
        <v>8</v>
      </c>
      <c r="I4" s="6">
        <f t="shared" si="1"/>
        <v>2846.5399999999995</v>
      </c>
      <c r="J4" s="6" cm="1">
        <f t="array" ref="J4">IFERROR(IF($D4="Buy",((SUMIFS($E$1:$E3,$B$1:$B3,$B4,$D$1:$D3,"Buy")-SUMIFS($E$1:$E3,$B$1:$B3,$B4,$D$1:$D3,"Sell"))*_xlfn.XLOOKUP($B4,$B$1:$B3,$J$1:$J3,0,0,-1)+$I4)/((SUMIFS($E$1:$E3,$B$1:$B3,$B4,$D$1:$D3,"Buy")-SUMIFS($E$1:$E3,$B$1:$B3,$B4,$D$1:$D3,"Sell"))+$E4),_xlfn.XLOOKUP($B4,$B$1:$B3,$J$1:$J3,0,0,-1)),0)</f>
        <v>2372.1166666666663</v>
      </c>
      <c r="K4" s="6" t="str">
        <f t="shared" si="2"/>
        <v/>
      </c>
      <c r="L4" s="1" t="s">
        <v>49</v>
      </c>
      <c r="M4" s="1" t="s">
        <v>72</v>
      </c>
      <c r="O4" s="13" t="s">
        <v>1</v>
      </c>
      <c r="P4" s="15"/>
    </row>
    <row r="5" spans="1:18" x14ac:dyDescent="0.2">
      <c r="A5" s="4">
        <v>46126</v>
      </c>
      <c r="B5" s="1" t="s">
        <v>31</v>
      </c>
      <c r="C5" s="1" t="s">
        <v>11</v>
      </c>
      <c r="D5" s="1" t="s">
        <v>15</v>
      </c>
      <c r="E5" s="1">
        <v>6</v>
      </c>
      <c r="F5" s="6">
        <v>384.37</v>
      </c>
      <c r="G5" s="6">
        <f t="shared" si="0"/>
        <v>2306.2200000000003</v>
      </c>
      <c r="H5" s="6">
        <v>5</v>
      </c>
      <c r="I5" s="6">
        <f t="shared" si="1"/>
        <v>2311.2200000000003</v>
      </c>
      <c r="J5" s="6" cm="1">
        <f t="array" ref="J5">IFERROR(IF($D5="Buy",((SUMIFS($E$1:$E4,$B$1:$B4,$B5,$D$1:$D4,"Buy")-SUMIFS($E$1:$E4,$B$1:$B4,$B5,$D$1:$D4,"Sell"))*_xlfn.XLOOKUP($B5,$B$1:$B4,$J$1:$J4,0,0,-1)+$I5)/((SUMIFS($E$1:$E4,$B$1:$B4,$B5,$D$1:$D4,"Buy")-SUMIFS($E$1:$E4,$B$1:$B4,$B5,$D$1:$D4,"Sell"))+$E5),_xlfn.XLOOKUP($B5,$B$1:$B4,$J$1:$J4,0,0,-1)),0)</f>
        <v>385.20333333333338</v>
      </c>
      <c r="K5" s="6" t="str">
        <f t="shared" si="2"/>
        <v/>
      </c>
      <c r="L5" s="1" t="s">
        <v>49</v>
      </c>
      <c r="M5" s="1" t="s">
        <v>73</v>
      </c>
      <c r="O5" s="13" t="s">
        <v>2</v>
      </c>
      <c r="P5" s="14"/>
      <c r="R5" s="3"/>
    </row>
    <row r="6" spans="1:18" x14ac:dyDescent="0.2">
      <c r="A6" s="4">
        <v>46126</v>
      </c>
      <c r="B6" s="1" t="s">
        <v>34</v>
      </c>
      <c r="C6" s="1" t="s">
        <v>12</v>
      </c>
      <c r="D6" s="1" t="s">
        <v>15</v>
      </c>
      <c r="E6" s="1">
        <v>150</v>
      </c>
      <c r="F6" s="6">
        <v>1.43</v>
      </c>
      <c r="G6" s="6">
        <f t="shared" si="0"/>
        <v>214.5</v>
      </c>
      <c r="H6" s="6">
        <v>3</v>
      </c>
      <c r="I6" s="6">
        <f t="shared" si="1"/>
        <v>217.5</v>
      </c>
      <c r="J6" s="6" cm="1">
        <f t="array" ref="J6">IFERROR(IF($D6="Buy",((SUMIFS($E$1:$E5,$B$1:$B5,$B6,$D$1:$D5,"Buy")-SUMIFS($E$1:$E5,$B$1:$B5,$B6,$D$1:$D5,"Sell"))*_xlfn.XLOOKUP($B6,$B$1:$B5,$J$1:$J5,0,0,-1)+$I6)/((SUMIFS($E$1:$E5,$B$1:$B5,$B6,$D$1:$D5,"Buy")-SUMIFS($E$1:$E5,$B$1:$B5,$B6,$D$1:$D5,"Sell"))+$E6),_xlfn.XLOOKUP($B6,$B$1:$B5,$J$1:$J5,0,0,-1)),0)</f>
        <v>1.45</v>
      </c>
      <c r="K6" s="6" t="str">
        <f t="shared" si="2"/>
        <v/>
      </c>
      <c r="L6" s="1" t="s">
        <v>49</v>
      </c>
      <c r="M6" s="1" t="s">
        <v>74</v>
      </c>
      <c r="O6" s="13" t="s">
        <v>3</v>
      </c>
      <c r="P6" s="15"/>
    </row>
    <row r="7" spans="1:18" x14ac:dyDescent="0.2">
      <c r="A7" s="4">
        <v>46126</v>
      </c>
      <c r="B7" s="1" t="s">
        <v>30</v>
      </c>
      <c r="C7" s="1" t="s">
        <v>11</v>
      </c>
      <c r="D7" s="1" t="s">
        <v>15</v>
      </c>
      <c r="E7" s="1">
        <v>7</v>
      </c>
      <c r="F7" s="6">
        <v>240.2</v>
      </c>
      <c r="G7" s="6">
        <f t="shared" si="0"/>
        <v>1681.3999999999999</v>
      </c>
      <c r="H7" s="6">
        <v>5</v>
      </c>
      <c r="I7" s="6">
        <f t="shared" si="1"/>
        <v>1686.3999999999999</v>
      </c>
      <c r="J7" s="6" cm="1">
        <f t="array" ref="J7">IFERROR(IF($D7="Buy",((SUMIFS($E$1:$E6,$B$1:$B6,$B7,$D$1:$D6,"Buy")-SUMIFS($E$1:$E6,$B$1:$B6,$B7,$D$1:$D6,"Sell"))*_xlfn.XLOOKUP($B7,$B$1:$B6,$J$1:$J6,0,0,-1)+$I7)/((SUMIFS($E$1:$E6,$B$1:$B6,$B7,$D$1:$D6,"Buy")-SUMIFS($E$1:$E6,$B$1:$B6,$B7,$D$1:$D6,"Sell"))+$E7),_xlfn.XLOOKUP($B7,$B$1:$B6,$J$1:$J6,0,0,-1)),0)</f>
        <v>240.72631578947366</v>
      </c>
      <c r="K7" s="6" t="str">
        <f t="shared" si="2"/>
        <v/>
      </c>
      <c r="L7" s="1" t="s">
        <v>49</v>
      </c>
      <c r="M7" s="1" t="s">
        <v>75</v>
      </c>
      <c r="O7" s="13" t="s">
        <v>4</v>
      </c>
      <c r="P7" s="15"/>
    </row>
    <row r="8" spans="1:18" x14ac:dyDescent="0.2">
      <c r="A8" s="4">
        <v>46126</v>
      </c>
      <c r="B8" s="1" t="s">
        <v>35</v>
      </c>
      <c r="C8" s="1" t="s">
        <v>12</v>
      </c>
      <c r="D8" s="1" t="s">
        <v>15</v>
      </c>
      <c r="E8" s="1">
        <v>800</v>
      </c>
      <c r="F8" s="6">
        <v>1</v>
      </c>
      <c r="G8" s="6">
        <f t="shared" si="0"/>
        <v>800</v>
      </c>
      <c r="H8" s="6">
        <v>1</v>
      </c>
      <c r="I8" s="6">
        <f t="shared" si="1"/>
        <v>801</v>
      </c>
      <c r="J8" s="6" cm="1">
        <f t="array" ref="J8">IFERROR(IF($D8="Buy",((SUMIFS($E$1:$E7,$B$1:$B7,$B8,$D$1:$D7,"Buy")-SUMIFS($E$1:$E7,$B$1:$B7,$B8,$D$1:$D7,"Sell"))*_xlfn.XLOOKUP($B8,$B$1:$B7,$J$1:$J7,0,0,-1)+$I8)/((SUMIFS($E$1:$E7,$B$1:$B7,$B8,$D$1:$D7,"Buy")-SUMIFS($E$1:$E7,$B$1:$B7,$B8,$D$1:$D7,"Sell"))+$E8),_xlfn.XLOOKUP($B8,$B$1:$B7,$J$1:$J7,0,0,-1)),0)</f>
        <v>1.00125</v>
      </c>
      <c r="K8" s="6" t="str">
        <f t="shared" si="2"/>
        <v/>
      </c>
      <c r="L8" s="1" t="s">
        <v>49</v>
      </c>
      <c r="M8" s="1" t="s">
        <v>76</v>
      </c>
      <c r="O8" s="13" t="s">
        <v>5</v>
      </c>
      <c r="P8" s="15"/>
    </row>
    <row r="9" spans="1:18" x14ac:dyDescent="0.2">
      <c r="A9" s="4">
        <v>46126</v>
      </c>
      <c r="B9" s="1" t="s">
        <v>32</v>
      </c>
      <c r="C9" s="1" t="s">
        <v>12</v>
      </c>
      <c r="D9" s="1" t="s">
        <v>15</v>
      </c>
      <c r="E9" s="1">
        <v>0.04</v>
      </c>
      <c r="F9" s="6">
        <v>74305</v>
      </c>
      <c r="G9" s="6">
        <f t="shared" si="0"/>
        <v>2972.2000000000003</v>
      </c>
      <c r="H9" s="6">
        <v>10</v>
      </c>
      <c r="I9" s="6">
        <f t="shared" si="1"/>
        <v>2982.2000000000003</v>
      </c>
      <c r="J9" s="6" cm="1">
        <f t="array" ref="J9">IFERROR(IF($D9="Buy",((SUMIFS($E$1:$E8,$B$1:$B8,$B9,$D$1:$D8,"Buy")-SUMIFS($E$1:$E8,$B$1:$B8,$B9,$D$1:$D8,"Sell"))*_xlfn.XLOOKUP($B9,$B$1:$B8,$J$1:$J8,0,0,-1)+$I9)/((SUMIFS($E$1:$E8,$B$1:$B8,$B9,$D$1:$D8,"Buy")-SUMIFS($E$1:$E8,$B$1:$B8,$B9,$D$1:$D8,"Sell"))+$E9),_xlfn.XLOOKUP($B9,$B$1:$B8,$J$1:$J8,0,0,-1)),0)</f>
        <v>74471.666666666672</v>
      </c>
      <c r="K9" s="6" t="str">
        <f t="shared" si="2"/>
        <v/>
      </c>
      <c r="L9" s="1" t="s">
        <v>49</v>
      </c>
      <c r="M9" s="1" t="s">
        <v>77</v>
      </c>
      <c r="O9" s="13" t="s">
        <v>7</v>
      </c>
      <c r="P9" s="15">
        <v>0</v>
      </c>
    </row>
    <row r="10" spans="1:18" x14ac:dyDescent="0.2">
      <c r="A10" s="4">
        <v>46126</v>
      </c>
      <c r="B10" s="1" t="s">
        <v>34</v>
      </c>
      <c r="C10" s="1" t="s">
        <v>12</v>
      </c>
      <c r="D10" s="1" t="s">
        <v>15</v>
      </c>
      <c r="E10" s="1">
        <v>90</v>
      </c>
      <c r="F10" s="6">
        <v>1.43</v>
      </c>
      <c r="G10" s="6">
        <f t="shared" si="0"/>
        <v>128.69999999999999</v>
      </c>
      <c r="H10" s="6">
        <v>3</v>
      </c>
      <c r="I10" s="6">
        <f t="shared" si="1"/>
        <v>131.69999999999999</v>
      </c>
      <c r="J10" s="6" cm="1">
        <f t="array" ref="J10">IFERROR(IF($D10="Buy",((SUMIFS($E$1:$E9,$B$1:$B9,$B10,$D$1:$D9,"Buy")-SUMIFS($E$1:$E9,$B$1:$B9,$B10,$D$1:$D9,"Sell"))*_xlfn.XLOOKUP($B10,$B$1:$B9,$J$1:$J9,0,0,-1)+$I10)/((SUMIFS($E$1:$E9,$B$1:$B9,$B10,$D$1:$D9,"Buy")-SUMIFS($E$1:$E9,$B$1:$B9,$B10,$D$1:$D9,"Sell"))+$E10),_xlfn.XLOOKUP($B10,$B$1:$B9,$J$1:$J9,0,0,-1)),0)</f>
        <v>1.4549999999999998</v>
      </c>
      <c r="K10" s="6" t="str">
        <f t="shared" si="2"/>
        <v/>
      </c>
      <c r="L10" s="1" t="s">
        <v>49</v>
      </c>
      <c r="M10" s="1" t="s">
        <v>78</v>
      </c>
      <c r="O10" s="13" t="s">
        <v>9</v>
      </c>
      <c r="P10" s="15" t="s">
        <v>49</v>
      </c>
    </row>
    <row r="11" spans="1:18" x14ac:dyDescent="0.2">
      <c r="A11" s="4">
        <v>46126</v>
      </c>
      <c r="B11" s="1" t="s">
        <v>31</v>
      </c>
      <c r="C11" s="1" t="s">
        <v>11</v>
      </c>
      <c r="D11" s="1" t="s">
        <v>15</v>
      </c>
      <c r="E11" s="1">
        <v>3</v>
      </c>
      <c r="F11" s="6">
        <v>384.37</v>
      </c>
      <c r="G11" s="6">
        <f t="shared" si="0"/>
        <v>1153.1100000000001</v>
      </c>
      <c r="H11" s="6">
        <v>5</v>
      </c>
      <c r="I11" s="6">
        <f t="shared" si="1"/>
        <v>1158.1100000000001</v>
      </c>
      <c r="J11" s="6" cm="1">
        <f t="array" ref="J11">IFERROR(IF($D11="Buy",((SUMIFS($E$1:$E10,$B$1:$B10,$B11,$D$1:$D10,"Buy")-SUMIFS($E$1:$E10,$B$1:$B10,$B11,$D$1:$D10,"Sell"))*_xlfn.XLOOKUP($B11,$B$1:$B10,$J$1:$J10,0,0,-1)+$I11)/((SUMIFS($E$1:$E10,$B$1:$B10,$B11,$D$1:$D10,"Buy")-SUMIFS($E$1:$E10,$B$1:$B10,$B11,$D$1:$D10,"Sell"))+$E11),_xlfn.XLOOKUP($B11,$B$1:$B10,$J$1:$J10,0,0,-1)),0)</f>
        <v>385.48111111111115</v>
      </c>
      <c r="K11" s="6" t="str">
        <f t="shared" si="2"/>
        <v/>
      </c>
      <c r="L11" s="1" t="s">
        <v>49</v>
      </c>
      <c r="M11" s="1" t="s">
        <v>79</v>
      </c>
      <c r="O11" s="13" t="s">
        <v>10</v>
      </c>
      <c r="P11" s="15"/>
    </row>
    <row r="12" spans="1:18" x14ac:dyDescent="0.2">
      <c r="A12" s="4">
        <v>46126</v>
      </c>
      <c r="B12" s="1" t="s">
        <v>30</v>
      </c>
      <c r="C12" s="1" t="s">
        <v>11</v>
      </c>
      <c r="D12" s="1" t="s">
        <v>16</v>
      </c>
      <c r="E12" s="1">
        <v>5</v>
      </c>
      <c r="F12" s="6">
        <v>255</v>
      </c>
      <c r="G12" s="6">
        <f t="shared" ref="G12:G21" si="3">E12*F12</f>
        <v>1275</v>
      </c>
      <c r="H12" s="6">
        <v>5</v>
      </c>
      <c r="I12" s="6">
        <f t="shared" si="1"/>
        <v>1270</v>
      </c>
      <c r="J12" s="6" cm="1">
        <f t="array" ref="J12">IFERROR(IF($D12="Buy",((SUMIFS($E$1:$E11,$B$1:$B11,$B12,$D$1:$D11,"Buy")-SUMIFS($E$1:$E11,$B$1:$B11,$B12,$D$1:$D11,"Sell"))*_xlfn.XLOOKUP($B12,$B$1:$B11,$J$1:$J11,0,0,-1)+$I12)/((SUMIFS($E$1:$E11,$B$1:$B11,$B12,$D$1:$D11,"Buy")-SUMIFS($E$1:$E11,$B$1:$B11,$B12,$D$1:$D11,"Sell"))+$E12),_xlfn.XLOOKUP($B12,$B$1:$B11,$J$1:$J11,0,0,-1)),0)</f>
        <v>240.72631578947366</v>
      </c>
      <c r="K12" s="6">
        <f t="shared" si="2"/>
        <v>66.368421052631675</v>
      </c>
      <c r="L12" s="1" t="s">
        <v>49</v>
      </c>
      <c r="M12" s="1" t="s">
        <v>82</v>
      </c>
    </row>
    <row r="13" spans="1:18" x14ac:dyDescent="0.2">
      <c r="A13" s="4">
        <v>46126</v>
      </c>
      <c r="B13" s="1" t="s">
        <v>31</v>
      </c>
      <c r="C13" s="1" t="s">
        <v>11</v>
      </c>
      <c r="D13" s="1" t="s">
        <v>16</v>
      </c>
      <c r="E13" s="1">
        <v>2</v>
      </c>
      <c r="F13" s="6">
        <v>384.37</v>
      </c>
      <c r="G13" s="6">
        <f t="shared" si="3"/>
        <v>768.74</v>
      </c>
      <c r="H13" s="6">
        <v>5</v>
      </c>
      <c r="I13" s="6">
        <f t="shared" si="1"/>
        <v>763.74</v>
      </c>
      <c r="J13" s="6" cm="1">
        <f t="array" ref="J13">IFERROR(IF($D13="Buy",((SUMIFS($E$1:$E12,$B$1:$B12,$B13,$D$1:$D12,"Buy")-SUMIFS($E$1:$E12,$B$1:$B12,$B13,$D$1:$D12,"Sell"))*_xlfn.XLOOKUP($B13,$B$1:$B12,$J$1:$J12,0,0,-1)+$I13)/((SUMIFS($E$1:$E12,$B$1:$B12,$B13,$D$1:$D12,"Buy")-SUMIFS($E$1:$E12,$B$1:$B12,$B13,$D$1:$D12,"Sell"))+$E13),_xlfn.XLOOKUP($B13,$B$1:$B12,$J$1:$J12,0,0,-1)),0)</f>
        <v>385.48111111111115</v>
      </c>
      <c r="K13" s="6">
        <f t="shared" si="2"/>
        <v>-7.2222222222222854</v>
      </c>
      <c r="L13" s="1" t="s">
        <v>49</v>
      </c>
      <c r="M13" s="1" t="s">
        <v>83</v>
      </c>
    </row>
    <row r="14" spans="1:18" x14ac:dyDescent="0.2">
      <c r="A14" s="4">
        <v>46126</v>
      </c>
      <c r="B14" s="1" t="s">
        <v>34</v>
      </c>
      <c r="C14" s="1" t="s">
        <v>12</v>
      </c>
      <c r="D14" s="1" t="s">
        <v>16</v>
      </c>
      <c r="E14" s="1">
        <v>100</v>
      </c>
      <c r="F14" s="6">
        <v>1.55</v>
      </c>
      <c r="G14" s="6">
        <f t="shared" si="3"/>
        <v>155</v>
      </c>
      <c r="H14" s="6">
        <v>3</v>
      </c>
      <c r="I14" s="6">
        <f t="shared" si="1"/>
        <v>152</v>
      </c>
      <c r="J14" s="6" cm="1">
        <f t="array" ref="J14">IFERROR(IF($D14="Buy",((SUMIFS($E$1:$E13,$B$1:$B13,$B14,$D$1:$D13,"Buy")-SUMIFS($E$1:$E13,$B$1:$B13,$B14,$D$1:$D13,"Sell"))*_xlfn.XLOOKUP($B14,$B$1:$B13,$J$1:$J13,0,0,-1)+$I14)/((SUMIFS($E$1:$E13,$B$1:$B13,$B14,$D$1:$D13,"Buy")-SUMIFS($E$1:$E13,$B$1:$B13,$B14,$D$1:$D13,"Sell"))+$E14),_xlfn.XLOOKUP($B14,$B$1:$B13,$J$1:$J13,0,0,-1)),0)</f>
        <v>1.4549999999999998</v>
      </c>
      <c r="K14" s="6">
        <f t="shared" si="2"/>
        <v>6.5000000000000284</v>
      </c>
      <c r="L14" s="1" t="s">
        <v>49</v>
      </c>
      <c r="M14" s="1" t="s">
        <v>84</v>
      </c>
    </row>
    <row r="15" spans="1:18" x14ac:dyDescent="0.2">
      <c r="A15" s="4">
        <v>46126</v>
      </c>
      <c r="B15" s="1" t="s">
        <v>32</v>
      </c>
      <c r="C15" s="1" t="s">
        <v>12</v>
      </c>
      <c r="D15" s="1" t="s">
        <v>16</v>
      </c>
      <c r="E15" s="1">
        <v>0.03</v>
      </c>
      <c r="F15" s="6">
        <v>76000</v>
      </c>
      <c r="G15" s="6">
        <f t="shared" si="3"/>
        <v>2280</v>
      </c>
      <c r="H15" s="6">
        <v>10</v>
      </c>
      <c r="I15" s="6">
        <f t="shared" si="1"/>
        <v>2270</v>
      </c>
      <c r="J15" s="6" cm="1">
        <f t="array" ref="J15">IFERROR(IF($D15="Buy",((SUMIFS($E$1:$E14,$B$1:$B14,$B15,$D$1:$D14,"Buy")-SUMIFS($E$1:$E14,$B$1:$B14,$B15,$D$1:$D14,"Sell"))*_xlfn.XLOOKUP($B15,$B$1:$B14,$J$1:$J14,0,0,-1)+$I15)/((SUMIFS($E$1:$E14,$B$1:$B14,$B15,$D$1:$D14,"Buy")-SUMIFS($E$1:$E14,$B$1:$B14,$B15,$D$1:$D14,"Sell"))+$E15),_xlfn.XLOOKUP($B15,$B$1:$B14,$J$1:$J14,0,0,-1)),0)</f>
        <v>74471.666666666672</v>
      </c>
      <c r="K15" s="6">
        <f t="shared" si="2"/>
        <v>35.849999999999909</v>
      </c>
      <c r="L15" s="1" t="s">
        <v>49</v>
      </c>
      <c r="M15" s="1" t="s">
        <v>85</v>
      </c>
    </row>
    <row r="16" spans="1:18" x14ac:dyDescent="0.2">
      <c r="A16" s="4">
        <v>46126</v>
      </c>
      <c r="B16" s="1" t="s">
        <v>32</v>
      </c>
      <c r="C16" s="1" t="s">
        <v>12</v>
      </c>
      <c r="D16" s="1" t="s">
        <v>15</v>
      </c>
      <c r="E16" s="1">
        <v>0.02</v>
      </c>
      <c r="F16" s="6">
        <v>70000</v>
      </c>
      <c r="G16" s="6">
        <f t="shared" si="3"/>
        <v>1400</v>
      </c>
      <c r="H16" s="6">
        <v>10</v>
      </c>
      <c r="I16" s="6">
        <f t="shared" si="1"/>
        <v>1410</v>
      </c>
      <c r="J16" s="6" cm="1">
        <f t="array" ref="J16">IFERROR(IF($D16="Buy",((SUMIFS($E$1:$E15,$B$1:$B15,$B16,$D$1:$D15,"Buy")-SUMIFS($E$1:$E15,$B$1:$B15,$B16,$D$1:$D15,"Sell"))*_xlfn.XLOOKUP($B16,$B$1:$B15,$J$1:$J15,0,0,-1)+$I16)/((SUMIFS($E$1:$E15,$B$1:$B15,$B16,$D$1:$D15,"Buy")-SUMIFS($E$1:$E15,$B$1:$B15,$B16,$D$1:$D15,"Sell"))+$E16),_xlfn.XLOOKUP($B16,$B$1:$B15,$J$1:$J15,0,0,-1)),0)</f>
        <v>73749.545454545456</v>
      </c>
      <c r="K16" s="6" t="str">
        <f t="shared" si="2"/>
        <v/>
      </c>
      <c r="L16" s="1" t="s">
        <v>49</v>
      </c>
      <c r="M16" s="1" t="s">
        <v>86</v>
      </c>
    </row>
    <row r="17" spans="1:13" x14ac:dyDescent="0.2">
      <c r="A17" s="4">
        <v>46126</v>
      </c>
      <c r="B17" s="1" t="s">
        <v>33</v>
      </c>
      <c r="C17" s="1" t="s">
        <v>12</v>
      </c>
      <c r="D17" s="1" t="s">
        <v>15</v>
      </c>
      <c r="E17" s="1">
        <v>0.5</v>
      </c>
      <c r="F17" s="6">
        <v>2365.4499999999998</v>
      </c>
      <c r="G17" s="6">
        <f t="shared" si="3"/>
        <v>1182.7249999999999</v>
      </c>
      <c r="H17" s="6">
        <v>8</v>
      </c>
      <c r="I17" s="6">
        <f t="shared" si="1"/>
        <v>1190.7249999999999</v>
      </c>
      <c r="J17" s="6" cm="1">
        <f t="array" ref="J17">IFERROR(IF($D17="Buy",((SUMIFS($E$1:$E16,$B$1:$B16,$B17,$D$1:$D16,"Buy")-SUMIFS($E$1:$E16,$B$1:$B16,$B17,$D$1:$D16,"Sell"))*_xlfn.XLOOKUP($B17,$B$1:$B16,$J$1:$J16,0,0,-1)+$I17)/((SUMIFS($E$1:$E16,$B$1:$B16,$B17,$D$1:$D16,"Buy")-SUMIFS($E$1:$E16,$B$1:$B16,$B17,$D$1:$D16,"Sell"))+$E17),_xlfn.XLOOKUP($B17,$B$1:$B16,$J$1:$J16,0,0,-1)),0)</f>
        <v>2374.8617647058823</v>
      </c>
      <c r="K17" s="6" t="str">
        <f t="shared" si="2"/>
        <v/>
      </c>
      <c r="L17" s="1" t="s">
        <v>49</v>
      </c>
      <c r="M17" s="1" t="s">
        <v>87</v>
      </c>
    </row>
    <row r="18" spans="1:13" x14ac:dyDescent="0.2">
      <c r="A18" s="4">
        <v>46126</v>
      </c>
      <c r="B18" s="1" t="s">
        <v>34</v>
      </c>
      <c r="C18" s="1" t="s">
        <v>12</v>
      </c>
      <c r="D18" s="1" t="s">
        <v>15</v>
      </c>
      <c r="E18" s="1">
        <v>60</v>
      </c>
      <c r="F18" s="6">
        <v>1.43</v>
      </c>
      <c r="G18" s="6">
        <f t="shared" si="3"/>
        <v>85.8</v>
      </c>
      <c r="H18" s="6">
        <v>3</v>
      </c>
      <c r="I18" s="6">
        <f t="shared" si="1"/>
        <v>88.8</v>
      </c>
      <c r="J18" s="6" cm="1">
        <f t="array" ref="J18">IFERROR(IF($D18="Buy",((SUMIFS($E$1:$E17,$B$1:$B17,$B18,$D$1:$D17,"Buy")-SUMIFS($E$1:$E17,$B$1:$B17,$B18,$D$1:$D17,"Sell"))*_xlfn.XLOOKUP($B18,$B$1:$B17,$J$1:$J17,0,0,-1)+$I18)/((SUMIFS($E$1:$E17,$B$1:$B17,$B18,$D$1:$D17,"Buy")-SUMIFS($E$1:$E17,$B$1:$B17,$B18,$D$1:$D17,"Sell"))+$E18),_xlfn.XLOOKUP($B18,$B$1:$B17,$J$1:$J17,0,0,-1)),0)</f>
        <v>1.4624999999999999</v>
      </c>
      <c r="K18" s="6" t="str">
        <f t="shared" si="2"/>
        <v/>
      </c>
      <c r="L18" s="1" t="s">
        <v>49</v>
      </c>
      <c r="M18" s="1" t="s">
        <v>88</v>
      </c>
    </row>
    <row r="19" spans="1:13" x14ac:dyDescent="0.2">
      <c r="A19" s="4">
        <v>46126</v>
      </c>
      <c r="B19" s="1" t="s">
        <v>35</v>
      </c>
      <c r="C19" s="1" t="s">
        <v>12</v>
      </c>
      <c r="D19" s="1" t="s">
        <v>15</v>
      </c>
      <c r="E19" s="1">
        <v>200</v>
      </c>
      <c r="F19" s="6">
        <v>1.05</v>
      </c>
      <c r="G19" s="6">
        <f t="shared" si="3"/>
        <v>210</v>
      </c>
      <c r="H19" s="6">
        <v>1</v>
      </c>
      <c r="I19" s="6">
        <f t="shared" si="1"/>
        <v>211</v>
      </c>
      <c r="J19" s="6" cm="1">
        <f t="array" ref="J19">IFERROR(IF($D19="Buy",((SUMIFS($E$1:$E18,$B$1:$B18,$B19,$D$1:$D18,"Buy")-SUMIFS($E$1:$E18,$B$1:$B18,$B19,$D$1:$D18,"Sell"))*_xlfn.XLOOKUP($B19,$B$1:$B18,$J$1:$J18,0,0,-1)+$I19)/((SUMIFS($E$1:$E18,$B$1:$B18,$B19,$D$1:$D18,"Buy")-SUMIFS($E$1:$E18,$B$1:$B18,$B19,$D$1:$D18,"Sell"))+$E19),_xlfn.XLOOKUP($B19,$B$1:$B18,$J$1:$J18,0,0,-1)),0)</f>
        <v>1.012</v>
      </c>
      <c r="K19" s="6" t="str">
        <f t="shared" si="2"/>
        <v/>
      </c>
      <c r="L19" s="1" t="s">
        <v>49</v>
      </c>
      <c r="M19" s="1" t="s">
        <v>89</v>
      </c>
    </row>
    <row r="20" spans="1:13" x14ac:dyDescent="0.2">
      <c r="A20" s="4">
        <v>46126</v>
      </c>
      <c r="B20" s="1" t="s">
        <v>33</v>
      </c>
      <c r="C20" s="1" t="s">
        <v>12</v>
      </c>
      <c r="D20" s="1" t="s">
        <v>15</v>
      </c>
      <c r="E20" s="1">
        <v>0.5</v>
      </c>
      <c r="F20" s="6">
        <v>2500</v>
      </c>
      <c r="G20" s="6">
        <f t="shared" si="3"/>
        <v>1250</v>
      </c>
      <c r="H20" s="6">
        <v>8</v>
      </c>
      <c r="I20" s="6">
        <f t="shared" si="1"/>
        <v>1258</v>
      </c>
      <c r="J20" s="6" cm="1">
        <f t="array" ref="J20">IFERROR(IF($D20="Buy",((SUMIFS($E$1:$E19,$B$1:$B19,$B20,$D$1:$D19,"Buy")-SUMIFS($E$1:$E19,$B$1:$B19,$B20,$D$1:$D19,"Sell"))*_xlfn.XLOOKUP($B20,$B$1:$B19,$J$1:$J19,0,0,-1)+$I20)/((SUMIFS($E$1:$E19,$B$1:$B19,$B20,$D$1:$D19,"Buy")-SUMIFS($E$1:$E19,$B$1:$B19,$B20,$D$1:$D19,"Sell"))+$E20),_xlfn.XLOOKUP($B20,$B$1:$B19,$J$1:$J19,0,0,-1)),0)</f>
        <v>2406.9386363636359</v>
      </c>
      <c r="K20" s="6" t="str">
        <f t="shared" si="2"/>
        <v/>
      </c>
      <c r="L20" s="1" t="s">
        <v>49</v>
      </c>
      <c r="M20" s="1" t="s">
        <v>89</v>
      </c>
    </row>
    <row r="21" spans="1:13" x14ac:dyDescent="0.2">
      <c r="A21" s="4">
        <v>46126</v>
      </c>
      <c r="B21" s="1" t="s">
        <v>34</v>
      </c>
      <c r="C21" s="1" t="s">
        <v>12</v>
      </c>
      <c r="D21" s="1" t="s">
        <v>15</v>
      </c>
      <c r="E21" s="1">
        <v>60</v>
      </c>
      <c r="F21" s="6">
        <v>1.2</v>
      </c>
      <c r="G21" s="6">
        <f t="shared" si="3"/>
        <v>72</v>
      </c>
      <c r="H21" s="6">
        <v>3</v>
      </c>
      <c r="I21" s="6">
        <f t="shared" si="1"/>
        <v>75</v>
      </c>
      <c r="J21" s="6" cm="1">
        <f t="array" ref="J21">IFERROR(IF($D21="Buy",((SUMIFS($E$1:$E20,$B$1:$B20,$B21,$D$1:$D20,"Buy")-SUMIFS($E$1:$E20,$B$1:$B20,$B21,$D$1:$D20,"Sell"))*_xlfn.XLOOKUP($B21,$B$1:$B20,$J$1:$J20,0,0,-1)+$I21)/((SUMIFS($E$1:$E20,$B$1:$B20,$B21,$D$1:$D20,"Buy")-SUMIFS($E$1:$E20,$B$1:$B20,$B21,$D$1:$D20,"Sell"))+$E21),_xlfn.XLOOKUP($B21,$B$1:$B20,$J$1:$J20,0,0,-1)),0)</f>
        <v>1.4134615384615385</v>
      </c>
      <c r="K21" s="6" t="str">
        <f t="shared" si="2"/>
        <v/>
      </c>
      <c r="L21" s="1" t="s">
        <v>49</v>
      </c>
      <c r="M21" s="1" t="s">
        <v>88</v>
      </c>
    </row>
    <row r="22" spans="1:13" x14ac:dyDescent="0.2">
      <c r="A22" s="4">
        <v>46128</v>
      </c>
      <c r="B22" s="1" t="s">
        <v>33</v>
      </c>
      <c r="C22" s="1" t="s">
        <v>12</v>
      </c>
      <c r="D22" s="1" t="s">
        <v>15</v>
      </c>
      <c r="E22" s="1">
        <v>7</v>
      </c>
      <c r="F22" s="6">
        <v>2365.4499999999998</v>
      </c>
      <c r="G22" s="6">
        <f>E22*F22</f>
        <v>16558.149999999998</v>
      </c>
      <c r="H22" s="6">
        <v>0</v>
      </c>
      <c r="I22" s="6">
        <f>IF(UPPER(D22)="SELL",G22-H22,G22+H22)</f>
        <v>16558.149999999998</v>
      </c>
      <c r="J22" s="6" cm="1">
        <f t="array" ref="J22">IFERROR(IF($D22="Buy",((SUMIFS($E$1:$E21,$B$1:$B21,$B22,$D$1:$D21,"Buy")-SUMIFS($E$1:$E21,$B$1:$B21,$B22,$D$1:$D21,"Sell"))*_xlfn.XLOOKUP($B22,$B$1:$B21,$J$1:$J21,0,0,-1)+$I22)/((SUMIFS($E$1:$E21,$B$1:$B21,$B22,$D$1:$D21,"Buy")-SUMIFS($E$1:$E21,$B$1:$B21,$B22,$D$1:$D21,"Sell"))+$E22),_xlfn.XLOOKUP($B22,$B$1:$B21,$J$1:$J21,0,0,-1)),0)</f>
        <v>2375.3711956521738</v>
      </c>
      <c r="K22" s="6" t="str">
        <f t="shared" si="2"/>
        <v/>
      </c>
      <c r="L22" s="1" t="s">
        <v>49</v>
      </c>
      <c r="M22" s="1"/>
    </row>
    <row r="23" spans="1:13" x14ac:dyDescent="0.2">
      <c r="A23" s="4">
        <v>46128</v>
      </c>
      <c r="B23" s="1" t="s">
        <v>32</v>
      </c>
      <c r="C23" s="1" t="s">
        <v>12</v>
      </c>
      <c r="D23" s="1" t="s">
        <v>15</v>
      </c>
      <c r="E23" s="1">
        <v>0.3</v>
      </c>
      <c r="F23" s="6">
        <v>74305</v>
      </c>
      <c r="G23" s="6">
        <f>E23*F23</f>
        <v>22291.5</v>
      </c>
      <c r="H23" s="6">
        <v>1</v>
      </c>
      <c r="I23" s="6">
        <f>IF(UPPER(D23)="SELL",G23-H23,G23+H23)</f>
        <v>22292.5</v>
      </c>
      <c r="J23" s="6" cm="1">
        <f t="array" ref="J23">IFERROR(IF($D23="Buy",((SUMIFS($E$1:$E22,$B$1:$B22,$B23,$D$1:$D22,"Buy")-SUMIFS($E$1:$E22,$B$1:$B22,$B23,$D$1:$D22,"Sell"))*_xlfn.XLOOKUP($B23,$B$1:$B22,$J$1:$J22,0,0,-1)+$I23)/((SUMIFS($E$1:$E22,$B$1:$B22,$B23,$D$1:$D22,"Buy")-SUMIFS($E$1:$E22,$B$1:$B22,$B23,$D$1:$D22,"Sell"))+$E23),_xlfn.XLOOKUP($B23,$B$1:$B22,$J$1:$J22,0,0,-1)),0)</f>
        <v>74158.414634146335</v>
      </c>
      <c r="K23" s="6" t="str">
        <f>IF($D23="Sell",$I23-($E23*$J23),"")</f>
        <v/>
      </c>
      <c r="L23" s="1" t="s">
        <v>49</v>
      </c>
      <c r="M23" s="1" t="s">
        <v>95</v>
      </c>
    </row>
    <row r="24" spans="1:13" x14ac:dyDescent="0.2">
      <c r="A24" s="4">
        <v>46133</v>
      </c>
      <c r="B24" s="1" t="s">
        <v>30</v>
      </c>
      <c r="C24" s="1" t="s">
        <v>11</v>
      </c>
      <c r="D24" s="1" t="s">
        <v>15</v>
      </c>
      <c r="E24" s="1">
        <v>3</v>
      </c>
      <c r="F24" s="6">
        <v>240.2</v>
      </c>
      <c r="G24" s="6">
        <f>E24*F24</f>
        <v>720.59999999999991</v>
      </c>
      <c r="H24" s="6">
        <v>2</v>
      </c>
      <c r="I24" s="6">
        <f>IF(UPPER(D24)="SELL",G24-H24,G24+H24)</f>
        <v>722.59999999999991</v>
      </c>
      <c r="J24" s="6" cm="1">
        <f t="array" ref="J24">IFERROR(IF($D24="Buy",((SUMIFS($E$1:$E23,$B$1:$B23,$B24,$D$1:$D23,"Buy")-SUMIFS($E$1:$E23,$B$1:$B23,$B24,$D$1:$D23,"Sell"))*_xlfn.XLOOKUP($B24,$B$1:$B23,$J$1:$J23,0,0,-1)+$I24)/((SUMIFS($E$1:$E23,$B$1:$B23,$B24,$D$1:$D23,"Buy")-SUMIFS($E$1:$E23,$B$1:$B23,$B24,$D$1:$D23,"Sell"))+$E24),_xlfn.XLOOKUP($B24,$B$1:$B23,$J$1:$J23,0,0,-1)),0)</f>
        <v>240.75108359133125</v>
      </c>
      <c r="K24" s="6" t="str">
        <f>IF($D24="Sell",$I24-($E24*$J24),"")</f>
        <v/>
      </c>
      <c r="L24" s="1" t="s">
        <v>49</v>
      </c>
      <c r="M24" s="1"/>
    </row>
    <row r="25" spans="1:13" x14ac:dyDescent="0.2">
      <c r="A25" s="4">
        <v>46144</v>
      </c>
      <c r="B25" s="1" t="s">
        <v>33</v>
      </c>
      <c r="C25" s="1" t="s">
        <v>12</v>
      </c>
      <c r="D25" s="1" t="s">
        <v>15</v>
      </c>
      <c r="E25" s="1">
        <v>2</v>
      </c>
      <c r="F25" s="6">
        <v>2365.4499999999998</v>
      </c>
      <c r="G25" s="6">
        <f>E25*F25</f>
        <v>4730.8999999999996</v>
      </c>
      <c r="H25" s="6">
        <v>2</v>
      </c>
      <c r="I25" s="6">
        <f>IF(UPPER(D25)="SELL",G25-H25,G25+H25)</f>
        <v>4732.8999999999996</v>
      </c>
      <c r="J25" s="6" cm="1">
        <f t="array" ref="J25">IFERROR(IF($D25="Buy",((SUMIFS($E$1:$E24,$B$1:$B24,$B25,$D$1:$D24,"Buy")-SUMIFS($E$1:$E24,$B$1:$B24,$B25,$D$1:$D24,"Sell"))*_xlfn.XLOOKUP($B25,$B$1:$B24,$J$1:$J24,0,0,-1)+$I25)/((SUMIFS($E$1:$E24,$B$1:$B24,$B25,$D$1:$D24,"Buy")-SUMIFS($E$1:$E24,$B$1:$B24,$B25,$D$1:$D24,"Sell"))+$E25),_xlfn.XLOOKUP($B25,$B$1:$B24,$J$1:$J24,0,0,-1)),0)</f>
        <v>2373.7781249999998</v>
      </c>
      <c r="K25" s="6" t="str">
        <f>IF($D25="Sell",$I25-($E25*$J25),"")</f>
        <v/>
      </c>
      <c r="L25" s="1" t="s">
        <v>49</v>
      </c>
      <c r="M25" s="1"/>
    </row>
    <row r="26" spans="1:13" x14ac:dyDescent="0.2">
      <c r="A26" s="4">
        <v>46144</v>
      </c>
      <c r="B26" s="1" t="s">
        <v>35</v>
      </c>
      <c r="C26" s="1" t="s">
        <v>12</v>
      </c>
      <c r="D26" s="1" t="s">
        <v>15</v>
      </c>
      <c r="E26" s="1">
        <v>80</v>
      </c>
      <c r="F26" s="6">
        <v>1</v>
      </c>
      <c r="G26" s="6">
        <f>E26*F26</f>
        <v>80</v>
      </c>
      <c r="H26" s="6">
        <v>1</v>
      </c>
      <c r="I26" s="6">
        <f>IF(UPPER(D26)="SELL",G26-H26,G26+H26)</f>
        <v>81</v>
      </c>
      <c r="J26" s="6" cm="1">
        <f t="array" ref="J26">IFERROR(IF($D26="Buy",((SUMIFS($E$1:$E25,$B$1:$B25,$B26,$D$1:$D25,"Buy")-SUMIFS($E$1:$E25,$B$1:$B25,$B26,$D$1:$D25,"Sell"))*_xlfn.XLOOKUP($B26,$B$1:$B25,$J$1:$J25,0,0,-1)+$I26)/((SUMIFS($E$1:$E25,$B$1:$B25,$B26,$D$1:$D25,"Buy")-SUMIFS($E$1:$E25,$B$1:$B25,$B26,$D$1:$D25,"Sell"))+$E26),_xlfn.XLOOKUP($B26,$B$1:$B25,$J$1:$J25,0,0,-1)),0)</f>
        <v>1.0120370370370371</v>
      </c>
      <c r="K26" s="6" t="str">
        <f>IF($D26="Sell",$I26-($E26*$J26),"")</f>
        <v/>
      </c>
      <c r="L26" s="1" t="s">
        <v>49</v>
      </c>
      <c r="M26" s="1"/>
    </row>
    <row r="27" spans="1:13" x14ac:dyDescent="0.2">
      <c r="A27" s="4">
        <v>46145</v>
      </c>
      <c r="B27" s="1" t="s">
        <v>30</v>
      </c>
      <c r="C27" s="1" t="s">
        <v>11</v>
      </c>
      <c r="D27" s="1" t="s">
        <v>15</v>
      </c>
      <c r="E27" s="1">
        <v>20</v>
      </c>
      <c r="F27" s="6">
        <v>240.2</v>
      </c>
      <c r="G27" s="6">
        <f>E27*F27</f>
        <v>4804</v>
      </c>
      <c r="H27" s="6">
        <v>0</v>
      </c>
      <c r="I27" s="6">
        <f>IF(UPPER(D27)="SELL",G27-H27,G27+H27)</f>
        <v>4804</v>
      </c>
      <c r="J27" s="6" cm="1">
        <f t="array" ref="J27">IFERROR(IF($D27="Buy",((SUMIFS($E$1:$E26,$B$1:$B26,$B27,$D$1:$D26,"Buy")-SUMIFS($E$1:$E26,$B$1:$B26,$B27,$D$1:$D26,"Sell"))*_xlfn.XLOOKUP($B27,$B$1:$B26,$J$1:$J26,0,0,-1)+$I27)/((SUMIFS($E$1:$E26,$B$1:$B26,$B27,$D$1:$D26,"Buy")-SUMIFS($E$1:$E26,$B$1:$B26,$B27,$D$1:$D26,"Sell"))+$E27),_xlfn.XLOOKUP($B27,$B$1:$B26,$J$1:$J26,0,0,-1)),0)</f>
        <v>240.45320056899004</v>
      </c>
      <c r="K27" s="6" t="str">
        <f>IF($D27="Sell",$I27-($E27*$J27),"")</f>
        <v/>
      </c>
      <c r="L27" s="1" t="s">
        <v>49</v>
      </c>
      <c r="M27" s="1"/>
    </row>
    <row r="28" spans="1:13" x14ac:dyDescent="0.2">
      <c r="A28" s="4">
        <v>46145</v>
      </c>
      <c r="B28" s="1" t="s">
        <v>31</v>
      </c>
      <c r="C28" s="1" t="s">
        <v>11</v>
      </c>
      <c r="D28" s="1" t="s">
        <v>15</v>
      </c>
      <c r="E28" s="1">
        <v>15</v>
      </c>
      <c r="F28" s="6">
        <v>384.37</v>
      </c>
      <c r="G28" s="6">
        <f>E28*F28</f>
        <v>5765.55</v>
      </c>
      <c r="H28" s="6">
        <v>0</v>
      </c>
      <c r="I28" s="6">
        <f>IF(UPPER(D28)="SELL",G28-H28,G28+H28)</f>
        <v>5765.55</v>
      </c>
      <c r="J28" s="6" cm="1">
        <f t="array" ref="J28">IFERROR(IF($D28="Buy",((SUMIFS($E$1:$E27,$B$1:$B27,$B28,$D$1:$D27,"Buy")-SUMIFS($E$1:$E27,$B$1:$B27,$B28,$D$1:$D27,"Sell"))*_xlfn.XLOOKUP($B28,$B$1:$B27,$J$1:$J27,0,0,-1)+$I28)/((SUMIFS($E$1:$E27,$B$1:$B27,$B28,$D$1:$D27,"Buy")-SUMIFS($E$1:$E27,$B$1:$B27,$B28,$D$1:$D27,"Sell"))+$E28),_xlfn.XLOOKUP($B28,$B$1:$B27,$J$1:$J27,0,0,-1)),0)</f>
        <v>384.7235353535354</v>
      </c>
      <c r="K28" s="6" t="str">
        <f>IF($D28="Sell",$I28-($E28*$J28),"")</f>
        <v/>
      </c>
      <c r="L28" s="1" t="s">
        <v>49</v>
      </c>
      <c r="M28" s="1"/>
    </row>
    <row r="29" spans="1:13" x14ac:dyDescent="0.2">
      <c r="A29" s="4">
        <v>46145</v>
      </c>
      <c r="B29" s="1" t="s">
        <v>32</v>
      </c>
      <c r="C29" s="1" t="s">
        <v>12</v>
      </c>
      <c r="D29" s="1" t="s">
        <v>16</v>
      </c>
      <c r="E29" s="1">
        <v>0.4</v>
      </c>
      <c r="F29" s="6">
        <v>74305</v>
      </c>
      <c r="G29" s="6">
        <f>E29*F29</f>
        <v>29722</v>
      </c>
      <c r="H29" s="6">
        <v>0</v>
      </c>
      <c r="I29" s="6">
        <f>IF(UPPER(D29)="SELL",G29-H29,G29+H29)</f>
        <v>29722</v>
      </c>
      <c r="J29" s="6" cm="1">
        <f t="array" ref="J29">IFERROR(IF($D29="Buy",((SUMIFS($E$1:$E28,$B$1:$B28,$B29,$D$1:$D28,"Buy")-SUMIFS($E$1:$E28,$B$1:$B28,$B29,$D$1:$D28,"Sell"))*_xlfn.XLOOKUP($B29,$B$1:$B28,$J$1:$J28,0,0,-1)+$I29)/((SUMIFS($E$1:$E28,$B$1:$B28,$B29,$D$1:$D28,"Buy")-SUMIFS($E$1:$E28,$B$1:$B28,$B29,$D$1:$D28,"Sell"))+$E29),_xlfn.XLOOKUP($B29,$B$1:$B28,$J$1:$J28,0,0,-1)),0)</f>
        <v>74158.414634146335</v>
      </c>
      <c r="K29" s="6">
        <f>IF($D29="Sell",$I29-($E29*$J29),"")</f>
        <v>58.634146341464657</v>
      </c>
      <c r="L29" s="1" t="s">
        <v>49</v>
      </c>
      <c r="M29" s="1"/>
    </row>
    <row r="30" spans="1:13" x14ac:dyDescent="0.2">
      <c r="A30" s="4">
        <v>46145</v>
      </c>
      <c r="B30" s="1" t="s">
        <v>34</v>
      </c>
      <c r="C30" s="1" t="s">
        <v>12</v>
      </c>
      <c r="D30" s="1" t="s">
        <v>15</v>
      </c>
      <c r="E30" s="1">
        <v>350</v>
      </c>
      <c r="F30" s="6">
        <v>1.43</v>
      </c>
      <c r="G30" s="6">
        <f>E30*F30</f>
        <v>500.5</v>
      </c>
      <c r="H30" s="6">
        <v>0</v>
      </c>
      <c r="I30" s="6">
        <f>IF(UPPER(D30)="SELL",G30-H30,G30+H30)</f>
        <v>500.5</v>
      </c>
      <c r="J30" s="6" cm="1">
        <f t="array" ref="J30">IFERROR(IF($D30="Buy",((SUMIFS($E$1:$E29,$B$1:$B29,$B30,$D$1:$D29,"Buy")-SUMIFS($E$1:$E29,$B$1:$B29,$B30,$D$1:$D29,"Sell"))*_xlfn.XLOOKUP($B30,$B$1:$B29,$J$1:$J29,0,0,-1)+$I30)/((SUMIFS($E$1:$E29,$B$1:$B29,$B30,$D$1:$D29,"Buy")-SUMIFS($E$1:$E29,$B$1:$B29,$B30,$D$1:$D29,"Sell"))+$E30),_xlfn.XLOOKUP($B30,$B$1:$B29,$J$1:$J29,0,0,-1)),0)</f>
        <v>1.4229508196721312</v>
      </c>
      <c r="K30" s="6" t="str">
        <f>IF($D30="Sell",$I30-($E30*$J30),"")</f>
        <v/>
      </c>
      <c r="L30" s="1" t="s">
        <v>49</v>
      </c>
      <c r="M30" s="1"/>
    </row>
    <row r="31" spans="1:13" x14ac:dyDescent="0.2">
      <c r="A31" s="4">
        <v>46145</v>
      </c>
      <c r="B31" s="1" t="s">
        <v>32</v>
      </c>
      <c r="C31" s="1" t="s">
        <v>12</v>
      </c>
      <c r="D31" s="1" t="s">
        <v>15</v>
      </c>
      <c r="E31" s="1">
        <v>0.09</v>
      </c>
      <c r="F31" s="6">
        <v>74305</v>
      </c>
      <c r="G31" s="6">
        <f>E31*F31</f>
        <v>6687.45</v>
      </c>
      <c r="H31" s="6">
        <v>0</v>
      </c>
      <c r="I31" s="6">
        <f>IF(UPPER(D31)="SELL",G31-H31,G31+H31)</f>
        <v>6687.45</v>
      </c>
      <c r="J31" s="6" cm="1">
        <f t="array" ref="J31">IFERROR(IF($D31="Buy",((SUMIFS($E$1:$E30,$B$1:$B30,$B31,$D$1:$D30,"Buy")-SUMIFS($E$1:$E30,$B$1:$B30,$B31,$D$1:$D30,"Sell"))*_xlfn.XLOOKUP($B31,$B$1:$B30,$J$1:$J30,0,0,-1)+$I31)/((SUMIFS($E$1:$E30,$B$1:$B30,$B31,$D$1:$D30,"Buy")-SUMIFS($E$1:$E30,$B$1:$B30,$B31,$D$1:$D30,"Sell"))+$E31),_xlfn.XLOOKUP($B31,$B$1:$B30,$J$1:$J30,0,0,-1)),0)</f>
        <v>74290.341463414632</v>
      </c>
      <c r="K31" s="6" t="str">
        <f>IF($D31="Sell",$I31-($E31*$J31),"")</f>
        <v/>
      </c>
      <c r="L31" s="1" t="s">
        <v>49</v>
      </c>
      <c r="M31" s="1"/>
    </row>
    <row r="32" spans="1:13" x14ac:dyDescent="0.2">
      <c r="A32" s="4">
        <v>46145</v>
      </c>
      <c r="B32" s="1" t="s">
        <v>35</v>
      </c>
      <c r="C32" s="1" t="s">
        <v>12</v>
      </c>
      <c r="D32" s="1" t="s">
        <v>15</v>
      </c>
      <c r="E32" s="1">
        <v>4000</v>
      </c>
      <c r="F32" s="6">
        <v>1</v>
      </c>
      <c r="G32" s="6">
        <f>E32*F32</f>
        <v>4000</v>
      </c>
      <c r="H32" s="6">
        <v>0</v>
      </c>
      <c r="I32" s="6">
        <f>IF(UPPER(D32)="SELL",G32-H32,G32+H32)</f>
        <v>4000</v>
      </c>
      <c r="J32" s="6" cm="1">
        <f t="array" ref="J32">IFERROR(IF($D32="Buy",((SUMIFS($E$1:$E31,$B$1:$B31,$B32,$D$1:$D31,"Buy")-SUMIFS($E$1:$E31,$B$1:$B31,$B32,$D$1:$D31,"Sell"))*_xlfn.XLOOKUP($B32,$B$1:$B31,$J$1:$J31,0,0,-1)+$I32)/((SUMIFS($E$1:$E31,$B$1:$B31,$B32,$D$1:$D31,"Buy")-SUMIFS($E$1:$E31,$B$1:$B31,$B32,$D$1:$D31,"Sell"))+$E32),_xlfn.XLOOKUP($B32,$B$1:$B31,$J$1:$J31,0,0,-1)),0)</f>
        <v>1.0025590551181103</v>
      </c>
      <c r="K32" s="6" t="str">
        <f>IF($D32="Sell",$I32-($E32*$J32),"")</f>
        <v/>
      </c>
      <c r="L32" s="1" t="s">
        <v>49</v>
      </c>
      <c r="M32" s="1"/>
    </row>
    <row r="33" spans="1:13" x14ac:dyDescent="0.2">
      <c r="A33" s="4">
        <v>46145</v>
      </c>
      <c r="B33" s="1" t="s">
        <v>34</v>
      </c>
      <c r="C33" s="1" t="s">
        <v>12</v>
      </c>
      <c r="D33" s="1" t="s">
        <v>15</v>
      </c>
      <c r="E33" s="1">
        <v>2694</v>
      </c>
      <c r="F33" s="6">
        <v>1.43</v>
      </c>
      <c r="G33" s="6">
        <f>E33*F33</f>
        <v>3852.4199999999996</v>
      </c>
      <c r="H33" s="6">
        <v>0</v>
      </c>
      <c r="I33" s="6">
        <f>IF(UPPER(D33)="SELL",G33-H33,G33+H33)</f>
        <v>3852.4199999999996</v>
      </c>
      <c r="J33" s="6" cm="1">
        <f t="array" ref="J33">IFERROR(IF($D33="Buy",((SUMIFS($E$1:$E32,$B$1:$B32,$B33,$D$1:$D32,"Buy")-SUMIFS($E$1:$E32,$B$1:$B32,$B33,$D$1:$D32,"Sell"))*_xlfn.XLOOKUP($B33,$B$1:$B32,$J$1:$J32,0,0,-1)+$I33)/((SUMIFS($E$1:$E32,$B$1:$B32,$B33,$D$1:$D32,"Buy")-SUMIFS($E$1:$E32,$B$1:$B32,$B33,$D$1:$D32,"Sell"))+$E33),_xlfn.XLOOKUP($B33,$B$1:$B32,$J$1:$J32,0,0,-1)),0)</f>
        <v>1.4286985472154965</v>
      </c>
      <c r="K33" s="6" t="str">
        <f>IF($D33="Sell",$I33-($E33*$J33),"")</f>
        <v/>
      </c>
      <c r="L33" s="1" t="s">
        <v>49</v>
      </c>
      <c r="M33" s="1"/>
    </row>
    <row r="34" spans="1:13" x14ac:dyDescent="0.2">
      <c r="A34" s="4">
        <v>46145</v>
      </c>
      <c r="B34" s="1" t="s">
        <v>33</v>
      </c>
      <c r="C34" s="1" t="s">
        <v>12</v>
      </c>
      <c r="D34" s="1" t="s">
        <v>16</v>
      </c>
      <c r="E34" s="1">
        <v>6.9</v>
      </c>
      <c r="F34" s="6">
        <v>2365.4499999999998</v>
      </c>
      <c r="G34" s="6">
        <f>E34*F34</f>
        <v>16321.605</v>
      </c>
      <c r="H34" s="6">
        <v>0</v>
      </c>
      <c r="I34" s="6">
        <f>IF(UPPER(D34)="SELL",G34-H34,G34+H34)</f>
        <v>16321.605</v>
      </c>
      <c r="J34" s="6" cm="1">
        <f t="array" ref="J34">IFERROR(IF($D34="Buy",((SUMIFS($E$1:$E33,$B$1:$B33,$B34,$D$1:$D33,"Buy")-SUMIFS($E$1:$E33,$B$1:$B33,$B34,$D$1:$D33,"Sell"))*_xlfn.XLOOKUP($B34,$B$1:$B33,$J$1:$J33,0,0,-1)+$I34)/((SUMIFS($E$1:$E33,$B$1:$B33,$B34,$D$1:$D33,"Buy")-SUMIFS($E$1:$E33,$B$1:$B33,$B34,$D$1:$D33,"Sell"))+$E34),_xlfn.XLOOKUP($B34,$B$1:$B33,$J$1:$J33,0,0,-1)),0)</f>
        <v>2373.7781249999998</v>
      </c>
      <c r="K34" s="6">
        <f>IF($D34="Sell",$I34-($E34*$J34),"")</f>
        <v>-57.464062499999272</v>
      </c>
      <c r="L34" s="1" t="s">
        <v>49</v>
      </c>
      <c r="M34" s="1"/>
    </row>
    <row r="35" spans="1:13" x14ac:dyDescent="0.2">
      <c r="A35" s="4">
        <v>46145</v>
      </c>
      <c r="B35" s="1" t="s">
        <v>34</v>
      </c>
      <c r="C35" s="1" t="s">
        <v>12</v>
      </c>
      <c r="D35" s="1" t="s">
        <v>15</v>
      </c>
      <c r="E35" s="1">
        <v>3800</v>
      </c>
      <c r="F35" s="6">
        <v>1.43</v>
      </c>
      <c r="G35" s="6">
        <f>E35*F35</f>
        <v>5434</v>
      </c>
      <c r="H35" s="6">
        <v>0</v>
      </c>
      <c r="I35" s="6">
        <f>IF(UPPER(D35)="SELL",G35-H35,G35+H35)</f>
        <v>5434</v>
      </c>
      <c r="J35" s="6" cm="1">
        <f t="array" ref="J35">IFERROR(IF($D35="Buy",((SUMIFS($E$1:$E34,$B$1:$B34,$B35,$D$1:$D34,"Buy")-SUMIFS($E$1:$E34,$B$1:$B34,$B35,$D$1:$D34,"Sell"))*_xlfn.XLOOKUP($B35,$B$1:$B34,$J$1:$J34,0,0,-1)+$I35)/((SUMIFS($E$1:$E34,$B$1:$B34,$B35,$D$1:$D34,"Buy")-SUMIFS($E$1:$E34,$B$1:$B34,$B35,$D$1:$D34,"Sell"))+$E35),_xlfn.XLOOKUP($B35,$B$1:$B34,$J$1:$J34,0,0,-1)),0)</f>
        <v>1.4293947072072073</v>
      </c>
      <c r="K35" s="6" t="str">
        <f>IF($D35="Sell",$I35-($E35*$J35),"")</f>
        <v/>
      </c>
      <c r="L35" s="1" t="s">
        <v>49</v>
      </c>
      <c r="M35" s="1"/>
    </row>
    <row r="36" spans="1:13" x14ac:dyDescent="0.2">
      <c r="A36" s="4"/>
      <c r="B36" s="1"/>
      <c r="C36" s="1"/>
      <c r="D36" s="1"/>
      <c r="E36" s="1"/>
      <c r="F36" s="6"/>
      <c r="G36" s="6"/>
      <c r="H36" s="6"/>
      <c r="I36" s="6"/>
      <c r="J36" s="6"/>
      <c r="K36" s="6"/>
      <c r="L36" s="1"/>
      <c r="M36" s="1"/>
    </row>
    <row r="37" spans="1:13" x14ac:dyDescent="0.2">
      <c r="A37" s="4"/>
      <c r="B37" s="1"/>
      <c r="C37" s="1"/>
      <c r="D37" s="1"/>
      <c r="E37" s="1"/>
      <c r="F37" s="6"/>
      <c r="G37" s="6"/>
      <c r="H37" s="6"/>
      <c r="I37" s="6"/>
      <c r="J37" s="6"/>
      <c r="K37" s="6"/>
      <c r="L37" s="1"/>
      <c r="M37" s="1"/>
    </row>
    <row r="38" spans="1:13" x14ac:dyDescent="0.2">
      <c r="A38" s="4"/>
      <c r="B38" s="1"/>
      <c r="C38" s="1"/>
      <c r="D38" s="1"/>
      <c r="E38" s="1"/>
      <c r="F38" s="6"/>
      <c r="G38" s="6"/>
      <c r="H38" s="6"/>
      <c r="I38" s="6"/>
      <c r="J38" s="6"/>
      <c r="K38" s="6"/>
      <c r="L38" s="1"/>
      <c r="M38" s="1"/>
    </row>
  </sheetData>
  <mergeCells count="1">
    <mergeCell ref="O2:P2"/>
  </mergeCells>
  <dataValidations count="3">
    <dataValidation type="list" allowBlank="1" showInputMessage="1" showErrorMessage="1" sqref="R5 P5 C2:C35" xr:uid="{E8B4A9DD-DA09-694A-8B57-D9AF66CA01D9}">
      <formula1>AssetTypeList</formula1>
    </dataValidation>
    <dataValidation type="list" allowBlank="1" showInputMessage="1" showErrorMessage="1" sqref="R4 P4 B2:B35" xr:uid="{9BF8E5F5-51D6-0846-BEF6-21F173C621DB}">
      <formula1>TickerList</formula1>
    </dataValidation>
    <dataValidation type="list" allowBlank="1" showInputMessage="1" showErrorMessage="1" sqref="R6 P6" xr:uid="{CF53871E-E4AC-564B-BD8A-CBD6259A5567}">
      <formula1>"Buy,Sell"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3" name="Button 45">
              <controlPr defaultSize="0" print="0" autoFill="0" autoPict="0" macro="[0]!AddTransaction">
                <anchor moveWithCells="1" siz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16</xdr:col>
                    <xdr:colOff>12700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" name="Button 46">
              <controlPr defaultSize="0" print="0" autoFill="0" autoPict="0" macro="[0]!ClearFormButton">
                <anchor moveWithCells="1" sizeWithCells="1">
                  <from>
                    <xdr:col>14</xdr:col>
                    <xdr:colOff>0</xdr:colOff>
                    <xdr:row>14</xdr:row>
                    <xdr:rowOff>190500</xdr:rowOff>
                  </from>
                  <to>
                    <xdr:col>16</xdr:col>
                    <xdr:colOff>12700</xdr:colOff>
                    <xdr:row>17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10D8E64-9F63-D64F-B0D1-9B3E03DB5017}">
          <x14:formula1>
            <xm:f>Lists!$B$2:$B$5</xm:f>
          </x14:formula1>
          <xm:sqref>D2:D35</xm:sqref>
        </x14:dataValidation>
        <x14:dataValidation type="list" allowBlank="1" showInputMessage="1" showErrorMessage="1" xr:uid="{DA2094BA-D228-7A4A-ABDD-ADD6B1671FF4}">
          <x14:formula1>
            <xm:f>Lists!$C$2:$C$4</xm:f>
          </x14:formula1>
          <xm:sqref>L2:L35</xm:sqref>
        </x14:dataValidation>
        <x14:dataValidation type="list" allowBlank="1" showInputMessage="1" showErrorMessage="1" xr:uid="{C657D60D-5397-094D-A02D-2A8FB7C2A9A3}">
          <x14:formula1>
            <xm:f>Lists!$C$2:$C$5</xm:f>
          </x14:formula1>
          <xm:sqref>R10 P10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EBF8C-1B98-F542-B73A-01DE88982B29}">
  <sheetPr codeName="Лист3"/>
  <dimension ref="A1:Q7"/>
  <sheetViews>
    <sheetView zoomScale="94" workbookViewId="0">
      <selection activeCell="F22" sqref="F22"/>
    </sheetView>
  </sheetViews>
  <sheetFormatPr baseColWidth="10" defaultRowHeight="16" x14ac:dyDescent="0.2"/>
  <cols>
    <col min="3" max="3" width="12.6640625" customWidth="1"/>
    <col min="4" max="4" width="11.1640625" customWidth="1"/>
    <col min="5" max="5" width="13.6640625" customWidth="1"/>
    <col min="6" max="6" width="14.6640625" style="5" customWidth="1"/>
    <col min="7" max="7" width="12.6640625" style="5" customWidth="1"/>
    <col min="8" max="8" width="13.83203125" style="5" customWidth="1"/>
    <col min="9" max="9" width="20.83203125" style="5" customWidth="1"/>
    <col min="10" max="10" width="13.5" customWidth="1"/>
    <col min="11" max="11" width="21.33203125" customWidth="1"/>
    <col min="12" max="12" width="14.33203125" customWidth="1"/>
    <col min="13" max="13" width="14" customWidth="1"/>
    <col min="14" max="14" width="13.33203125" customWidth="1"/>
    <col min="16" max="16" width="15" customWidth="1"/>
    <col min="17" max="17" width="16" customWidth="1"/>
  </cols>
  <sheetData>
    <row r="1" spans="1:17" x14ac:dyDescent="0.2">
      <c r="A1" s="2" t="s">
        <v>1</v>
      </c>
      <c r="B1" s="2" t="s">
        <v>2</v>
      </c>
      <c r="C1" s="2" t="s">
        <v>22</v>
      </c>
      <c r="D1" s="2" t="s">
        <v>23</v>
      </c>
      <c r="E1" s="2" t="s">
        <v>24</v>
      </c>
      <c r="F1" s="8" t="s">
        <v>25</v>
      </c>
      <c r="G1" s="8" t="s">
        <v>26</v>
      </c>
      <c r="H1" s="8" t="s">
        <v>27</v>
      </c>
      <c r="I1" s="8" t="s">
        <v>28</v>
      </c>
      <c r="J1" s="8" t="s">
        <v>54</v>
      </c>
      <c r="K1" s="8" t="s">
        <v>55</v>
      </c>
      <c r="L1" s="8" t="s">
        <v>56</v>
      </c>
      <c r="M1" s="8" t="s">
        <v>57</v>
      </c>
      <c r="N1" s="8" t="s">
        <v>58</v>
      </c>
      <c r="O1" s="8" t="s">
        <v>59</v>
      </c>
      <c r="P1" s="8" t="s">
        <v>60</v>
      </c>
      <c r="Q1" s="8" t="s">
        <v>61</v>
      </c>
    </row>
    <row r="2" spans="1:17" x14ac:dyDescent="0.2">
      <c r="A2" t="s">
        <v>30</v>
      </c>
      <c r="B2" t="str">
        <f>VLOOKUP(A2,Prices!$A$2:$B$100,2,FALSE)</f>
        <v>Stock</v>
      </c>
      <c r="C2">
        <f>SUMIFS(Transactions!$E:$E,Transactions!$B:$B,A2,Transactions!$D:$D,"Buy")</f>
        <v>42</v>
      </c>
      <c r="D2">
        <f>SUMIFS(Transactions!$E:$E,Transactions!$B:$B,A2,Transactions!$D:$D,"Sell")</f>
        <v>5</v>
      </c>
      <c r="E2">
        <f>C2-D2</f>
        <v>37</v>
      </c>
      <c r="F2" s="5">
        <f>IF(C2=0,0,SUMIFS(Transactions!$I:$I,Transactions!$B:$B,A2,Transactions!$D:$D,"Buy")/C2)</f>
        <v>240.48571428571427</v>
      </c>
      <c r="G2" s="5">
        <f>VLOOKUP(A2,Prices!$A$2:$C$100,3,FALSE)</f>
        <v>240.2</v>
      </c>
      <c r="H2" s="5">
        <f>E2*G2</f>
        <v>8887.4</v>
      </c>
      <c r="I2" s="5">
        <f>(G2-F2)*E2</f>
        <v>-10.571428571428271</v>
      </c>
      <c r="J2" s="5">
        <f>E2*F2</f>
        <v>8897.9714285714272</v>
      </c>
      <c r="K2" s="19">
        <f>IF(J2=0,0,ROUND(I2/J2,6))</f>
        <v>-1.188E-3</v>
      </c>
      <c r="L2">
        <f>VLOOKUP(A2,Prices!$A$2:$E$100,5,FALSE)</f>
        <v>239.5</v>
      </c>
      <c r="M2">
        <f>IF(L2=0,0,(G2-L2)*E2)</f>
        <v>25.899999999999579</v>
      </c>
      <c r="N2">
        <f>IF(L2=0,0,(G2-L2)/L2)</f>
        <v>2.922755741127301E-3</v>
      </c>
      <c r="O2">
        <f>IF(SUM($H$2:$H$7)=0,0,H2/SUM($H$2:$H$7))</f>
        <v>0.17709559752826567</v>
      </c>
      <c r="P2" s="18">
        <v>0.2</v>
      </c>
      <c r="Q2">
        <f>O2-P2</f>
        <v>-2.2904402471734336E-2</v>
      </c>
    </row>
    <row r="3" spans="1:17" x14ac:dyDescent="0.2">
      <c r="A3" t="s">
        <v>31</v>
      </c>
      <c r="B3" t="str">
        <f>VLOOKUP(A3,Prices!$A$2:$B$100,2,FALSE)</f>
        <v>Stock</v>
      </c>
      <c r="C3">
        <f>SUMIFS(Transactions!$E:$E,Transactions!$B:$B,A3,Transactions!$D:$D,"Buy")</f>
        <v>24</v>
      </c>
      <c r="D3">
        <f>SUMIFS(Transactions!$E:$E,Transactions!$B:$B,A3,Transactions!$D:$D,"Sell")</f>
        <v>2</v>
      </c>
      <c r="E3">
        <f t="shared" ref="E3:E7" si="0">C3-D3</f>
        <v>22</v>
      </c>
      <c r="F3" s="5">
        <f>IF(C3=0,0,SUMIFS(Transactions!$I:$I,Transactions!$B:$B,A3,Transactions!$D:$D,"Buy")/C3)</f>
        <v>384.78666666666669</v>
      </c>
      <c r="G3" s="5">
        <f>VLOOKUP(A3,Prices!$A$2:$C$100,3,FALSE)</f>
        <v>384.37</v>
      </c>
      <c r="H3" s="5">
        <f t="shared" ref="H3:H7" si="1">E3*G3</f>
        <v>8456.14</v>
      </c>
      <c r="I3" s="5">
        <f t="shared" ref="I3:I7" si="2">(G3-F3)*E3</f>
        <v>-9.1666666666670835</v>
      </c>
      <c r="J3" s="5">
        <f t="shared" ref="J3:J7" si="3">E3*F3</f>
        <v>8465.3066666666673</v>
      </c>
      <c r="K3" s="19">
        <f t="shared" ref="K3:K7" si="4">IF(J3=0,0,ROUND(I3/J3,6))</f>
        <v>-1.083E-3</v>
      </c>
      <c r="L3">
        <f>VLOOKUP(A3,Prices!$A$2:$E$100,5,FALSE)</f>
        <v>383.8</v>
      </c>
      <c r="M3">
        <f t="shared" ref="M3:M7" si="5">IF(L3=0,0,(G3-L3)*E3)</f>
        <v>12.53999999999985</v>
      </c>
      <c r="N3">
        <f t="shared" ref="N3:N7" si="6">IF(L3=0,0,(G3-L3)/L3)</f>
        <v>1.4851485148514674E-3</v>
      </c>
      <c r="O3">
        <f t="shared" ref="O3:O7" si="7">IF(SUM($H$2:$H$7)=0,0,H3/SUM($H$2:$H$7))</f>
        <v>0.16850205527855935</v>
      </c>
      <c r="P3" s="18">
        <v>0.2</v>
      </c>
      <c r="Q3">
        <f t="shared" ref="Q3:Q7" si="8">O3-P3</f>
        <v>-3.1497944721440657E-2</v>
      </c>
    </row>
    <row r="4" spans="1:17" x14ac:dyDescent="0.2">
      <c r="A4" t="s">
        <v>32</v>
      </c>
      <c r="B4" t="str">
        <f>VLOOKUP(A4,Prices!$A$2:$B$100,2,FALSE)</f>
        <v>Crypto</v>
      </c>
      <c r="C4">
        <f>SUMIFS(Transactions!$E:$E,Transactions!$B:$B,A4,Transactions!$D:$D,"Buy")</f>
        <v>0.52999999999999992</v>
      </c>
      <c r="D4">
        <f>SUMIFS(Transactions!$E:$E,Transactions!$B:$B,A4,Transactions!$D:$D,"Sell")</f>
        <v>0.43000000000000005</v>
      </c>
      <c r="E4">
        <f t="shared" si="0"/>
        <v>9.9999999999999867E-2</v>
      </c>
      <c r="F4" s="5">
        <f>IF(C4=0,0,SUMIFS(Transactions!$I:$I,Transactions!$B:$B,A4,Transactions!$D:$D,"Buy")/C4)</f>
        <v>74201.037735849066</v>
      </c>
      <c r="G4" s="5">
        <f>VLOOKUP(A4,Prices!$A$2:$C$100,3,FALSE)</f>
        <v>74305</v>
      </c>
      <c r="H4" s="5">
        <f t="shared" si="1"/>
        <v>7430.49999999999</v>
      </c>
      <c r="I4" s="5">
        <f>(G4-F4)*E4</f>
        <v>10.396226415093393</v>
      </c>
      <c r="J4" s="5">
        <f t="shared" si="3"/>
        <v>7420.1037735848968</v>
      </c>
      <c r="K4" s="19">
        <f t="shared" si="4"/>
        <v>1.4009999999999999E-3</v>
      </c>
      <c r="L4">
        <f>VLOOKUP(A4,Prices!$A$2:$E$100,5,FALSE)</f>
        <v>74200</v>
      </c>
      <c r="M4">
        <f t="shared" si="5"/>
        <v>10.499999999999986</v>
      </c>
      <c r="N4">
        <f t="shared" si="6"/>
        <v>1.4150943396226414E-3</v>
      </c>
      <c r="O4">
        <f t="shared" si="7"/>
        <v>0.14806454502259112</v>
      </c>
      <c r="P4" s="18">
        <v>0.2</v>
      </c>
      <c r="Q4">
        <f t="shared" si="8"/>
        <v>-5.1935454977408896E-2</v>
      </c>
    </row>
    <row r="5" spans="1:17" x14ac:dyDescent="0.2">
      <c r="A5" t="s">
        <v>33</v>
      </c>
      <c r="B5" t="str">
        <f>VLOOKUP(A5,Prices!$A$2:$B$100,2,FALSE)</f>
        <v>Crypto</v>
      </c>
      <c r="C5">
        <f>SUMIFS(Transactions!$E:$E,Transactions!$B:$B,A5,Transactions!$D:$D,"Buy")</f>
        <v>11.2</v>
      </c>
      <c r="D5">
        <f>SUMIFS(Transactions!$E:$E,Transactions!$B:$B,A5,Transactions!$D:$D,"Sell")</f>
        <v>6.9</v>
      </c>
      <c r="E5">
        <f t="shared" si="0"/>
        <v>4.2999999999999989</v>
      </c>
      <c r="F5" s="5">
        <f>IF(C5=0,0,SUMIFS(Transactions!$I:$I,Transactions!$B:$B,A5,Transactions!$D:$D,"Buy")/C5)</f>
        <v>2373.7781249999998</v>
      </c>
      <c r="G5" s="5">
        <f>VLOOKUP(A5,Prices!$A$2:$C$100,3,FALSE)</f>
        <v>2365.4499999999998</v>
      </c>
      <c r="H5" s="5">
        <f t="shared" si="1"/>
        <v>10171.434999999996</v>
      </c>
      <c r="I5" s="5">
        <f t="shared" si="2"/>
        <v>-35.810937499999994</v>
      </c>
      <c r="J5" s="5">
        <f t="shared" si="3"/>
        <v>10207.245937499996</v>
      </c>
      <c r="K5" s="19">
        <f t="shared" si="4"/>
        <v>-3.5079999999999998E-3</v>
      </c>
      <c r="L5">
        <f>VLOOKUP(A5,Prices!$A$2:$E$100,5,FALSE)</f>
        <v>2340</v>
      </c>
      <c r="M5">
        <f t="shared" si="5"/>
        <v>109.43499999999919</v>
      </c>
      <c r="N5">
        <f t="shared" si="6"/>
        <v>1.0876068376068299E-2</v>
      </c>
      <c r="O5">
        <f t="shared" si="7"/>
        <v>0.20268203963419157</v>
      </c>
      <c r="P5" s="18">
        <v>0.15</v>
      </c>
      <c r="Q5">
        <f t="shared" si="8"/>
        <v>5.2682039634191574E-2</v>
      </c>
    </row>
    <row r="6" spans="1:17" x14ac:dyDescent="0.2">
      <c r="A6" t="s">
        <v>34</v>
      </c>
      <c r="B6" t="str">
        <f>VLOOKUP(A6,Prices!$A$2:$B$100,2,FALSE)</f>
        <v>Crypto</v>
      </c>
      <c r="C6">
        <f>SUMIFS(Transactions!$E:$E,Transactions!$B:$B,A6,Transactions!$D:$D,"Buy")</f>
        <v>7204</v>
      </c>
      <c r="D6">
        <f>SUMIFS(Transactions!$E:$E,Transactions!$B:$B,A6,Transactions!$D:$D,"Sell")</f>
        <v>100</v>
      </c>
      <c r="E6">
        <f t="shared" si="0"/>
        <v>7104</v>
      </c>
      <c r="F6" s="5">
        <f>IF(C6=0,0,SUMIFS(Transactions!$I:$I,Transactions!$B:$B,A6,Transactions!$D:$D,"Buy")/C6)</f>
        <v>1.4297501388117713</v>
      </c>
      <c r="G6" s="5">
        <f>VLOOKUP(A6,Prices!$A$2:$C$100,3,FALSE)</f>
        <v>1.43</v>
      </c>
      <c r="H6" s="5">
        <f t="shared" si="1"/>
        <v>10158.719999999999</v>
      </c>
      <c r="I6" s="5">
        <f t="shared" si="2"/>
        <v>1.7750138811764913</v>
      </c>
      <c r="J6" s="5">
        <f t="shared" si="3"/>
        <v>10156.944986118822</v>
      </c>
      <c r="K6" s="19">
        <f t="shared" si="4"/>
        <v>1.75E-4</v>
      </c>
      <c r="L6">
        <f>VLOOKUP(A6,Prices!$A$2:$E$100,5,FALSE)</f>
        <v>1.4</v>
      </c>
      <c r="M6">
        <f t="shared" si="5"/>
        <v>213.12000000000018</v>
      </c>
      <c r="N6">
        <f t="shared" si="6"/>
        <v>2.142857142857145E-2</v>
      </c>
      <c r="O6">
        <f t="shared" si="7"/>
        <v>0.202428673011493</v>
      </c>
      <c r="P6" s="18">
        <v>0.1</v>
      </c>
      <c r="Q6">
        <f t="shared" si="8"/>
        <v>0.102428673011493</v>
      </c>
    </row>
    <row r="7" spans="1:17" x14ac:dyDescent="0.2">
      <c r="A7" t="s">
        <v>35</v>
      </c>
      <c r="B7" t="str">
        <f>VLOOKUP(A7,Prices!$A$2:$B$100,2,FALSE)</f>
        <v>Crypto</v>
      </c>
      <c r="C7">
        <f>SUMIFS(Transactions!$E:$E,Transactions!$B:$B,A7,Transactions!$D:$D,"Buy")</f>
        <v>5080</v>
      </c>
      <c r="D7">
        <f>SUMIFS(Transactions!$E:$E,Transactions!$B:$B,A7,Transactions!$D:$D,"Sell")</f>
        <v>0</v>
      </c>
      <c r="E7">
        <f t="shared" si="0"/>
        <v>5080</v>
      </c>
      <c r="F7" s="5">
        <f>IF(C7=0,0,SUMIFS(Transactions!$I:$I,Transactions!$B:$B,A7,Transactions!$D:$D,"Buy")/C7)</f>
        <v>1.0025590551181103</v>
      </c>
      <c r="G7" s="5">
        <f>VLOOKUP(A7,Prices!$A$2:$C$100,3,FALSE)</f>
        <v>1</v>
      </c>
      <c r="H7" s="5">
        <f t="shared" si="1"/>
        <v>5080</v>
      </c>
      <c r="I7" s="5">
        <f t="shared" si="2"/>
        <v>-13.000000000000203</v>
      </c>
      <c r="J7" s="5">
        <f t="shared" si="3"/>
        <v>5093</v>
      </c>
      <c r="K7" s="19">
        <f t="shared" si="4"/>
        <v>-2.5530000000000001E-3</v>
      </c>
      <c r="L7">
        <f>VLOOKUP(A7,Prices!$A$2:$E$100,5,FALSE)</f>
        <v>1</v>
      </c>
      <c r="M7">
        <f t="shared" si="5"/>
        <v>0</v>
      </c>
      <c r="N7">
        <f t="shared" si="6"/>
        <v>0</v>
      </c>
      <c r="O7">
        <f t="shared" si="7"/>
        <v>0.10122708952489926</v>
      </c>
      <c r="P7" s="18">
        <v>0.15</v>
      </c>
      <c r="Q7">
        <f t="shared" si="8"/>
        <v>-4.8772910475100739E-2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D38B7-963B-CA43-B32C-8E29AAF9DDED}">
  <sheetPr codeName="Лист4"/>
  <dimension ref="A1:E7"/>
  <sheetViews>
    <sheetView workbookViewId="0">
      <selection activeCell="E2" sqref="E2"/>
    </sheetView>
  </sheetViews>
  <sheetFormatPr baseColWidth="10" defaultRowHeight="16" x14ac:dyDescent="0.2"/>
  <cols>
    <col min="2" max="2" width="13.6640625" customWidth="1"/>
    <col min="3" max="3" width="14.1640625" customWidth="1"/>
    <col min="4" max="4" width="12.83203125" customWidth="1"/>
    <col min="5" max="5" width="14.83203125" customWidth="1"/>
  </cols>
  <sheetData>
    <row r="1" spans="1:5" x14ac:dyDescent="0.2">
      <c r="A1" s="2" t="s">
        <v>1</v>
      </c>
      <c r="B1" s="2" t="s">
        <v>2</v>
      </c>
      <c r="C1" s="2" t="s">
        <v>26</v>
      </c>
      <c r="D1" s="2" t="s">
        <v>29</v>
      </c>
      <c r="E1" s="2" t="s">
        <v>56</v>
      </c>
    </row>
    <row r="2" spans="1:5" x14ac:dyDescent="0.2">
      <c r="A2" t="s">
        <v>30</v>
      </c>
      <c r="B2" t="s">
        <v>11</v>
      </c>
      <c r="C2" s="5">
        <v>240.2</v>
      </c>
      <c r="D2" s="3">
        <f ca="1">TODAY()</f>
        <v>46145</v>
      </c>
      <c r="E2" s="5">
        <v>239.5</v>
      </c>
    </row>
    <row r="3" spans="1:5" x14ac:dyDescent="0.2">
      <c r="A3" t="s">
        <v>31</v>
      </c>
      <c r="B3" t="s">
        <v>11</v>
      </c>
      <c r="C3" s="5">
        <v>384.37</v>
      </c>
      <c r="D3" s="3">
        <f t="shared" ref="D3:D7" ca="1" si="0">TODAY()</f>
        <v>46145</v>
      </c>
      <c r="E3" s="5">
        <v>383.8</v>
      </c>
    </row>
    <row r="4" spans="1:5" x14ac:dyDescent="0.2">
      <c r="A4" t="s">
        <v>32</v>
      </c>
      <c r="B4" t="s">
        <v>12</v>
      </c>
      <c r="C4" s="5">
        <v>74305</v>
      </c>
      <c r="D4" s="3">
        <f t="shared" ca="1" si="0"/>
        <v>46145</v>
      </c>
      <c r="E4" s="5">
        <v>74200</v>
      </c>
    </row>
    <row r="5" spans="1:5" x14ac:dyDescent="0.2">
      <c r="A5" t="s">
        <v>33</v>
      </c>
      <c r="B5" t="s">
        <v>12</v>
      </c>
      <c r="C5" s="5">
        <v>2365.4499999999998</v>
      </c>
      <c r="D5" s="3">
        <f t="shared" ca="1" si="0"/>
        <v>46145</v>
      </c>
      <c r="E5" s="5">
        <v>2340</v>
      </c>
    </row>
    <row r="6" spans="1:5" x14ac:dyDescent="0.2">
      <c r="A6" t="s">
        <v>34</v>
      </c>
      <c r="B6" t="s">
        <v>12</v>
      </c>
      <c r="C6" s="5">
        <v>1.43</v>
      </c>
      <c r="D6" s="3">
        <f t="shared" ca="1" si="0"/>
        <v>46145</v>
      </c>
      <c r="E6" s="5">
        <v>1.4</v>
      </c>
    </row>
    <row r="7" spans="1:5" x14ac:dyDescent="0.2">
      <c r="A7" t="s">
        <v>35</v>
      </c>
      <c r="B7" t="s">
        <v>12</v>
      </c>
      <c r="C7" s="5">
        <v>1</v>
      </c>
      <c r="D7" s="3">
        <f t="shared" ca="1" si="0"/>
        <v>46145</v>
      </c>
      <c r="E7" s="5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1E110-D745-8C4D-BB1F-90ED925DB679}">
  <sheetPr codeName="Лист5"/>
  <dimension ref="A1:B17"/>
  <sheetViews>
    <sheetView workbookViewId="0">
      <selection activeCell="E6" sqref="E6"/>
    </sheetView>
  </sheetViews>
  <sheetFormatPr baseColWidth="10" defaultRowHeight="16" x14ac:dyDescent="0.2"/>
  <cols>
    <col min="1" max="1" width="27" customWidth="1"/>
    <col min="2" max="2" width="34.5" style="5" customWidth="1"/>
  </cols>
  <sheetData>
    <row r="1" spans="1:2" x14ac:dyDescent="0.2">
      <c r="A1" s="2" t="s">
        <v>36</v>
      </c>
      <c r="B1" s="8" t="s">
        <v>37</v>
      </c>
    </row>
    <row r="2" spans="1:2" x14ac:dyDescent="0.2">
      <c r="A2" t="s">
        <v>29</v>
      </c>
      <c r="B2" s="16">
        <v>46145.036620370367</v>
      </c>
    </row>
    <row r="3" spans="1:2" x14ac:dyDescent="0.2">
      <c r="A3" t="s">
        <v>90</v>
      </c>
      <c r="B3" s="24">
        <v>50141.72</v>
      </c>
    </row>
    <row r="4" spans="1:2" x14ac:dyDescent="0.2">
      <c r="A4" t="s">
        <v>38</v>
      </c>
      <c r="B4" s="24">
        <v>50184.194999999985</v>
      </c>
    </row>
    <row r="5" spans="1:2" x14ac:dyDescent="0.2">
      <c r="A5" t="s">
        <v>62</v>
      </c>
      <c r="B5" s="24">
        <v>50240.572792441802</v>
      </c>
    </row>
    <row r="6" spans="1:2" x14ac:dyDescent="0.2">
      <c r="A6" t="s">
        <v>43</v>
      </c>
      <c r="B6" s="24">
        <v>-56.377792441825662</v>
      </c>
    </row>
    <row r="7" spans="1:2" x14ac:dyDescent="0.2">
      <c r="A7" t="s">
        <v>63</v>
      </c>
      <c r="B7" s="19">
        <v>-1.122156641699498E-3</v>
      </c>
    </row>
    <row r="8" spans="1:2" x14ac:dyDescent="0.2">
      <c r="A8" t="s">
        <v>39</v>
      </c>
      <c r="B8" s="23">
        <v>6</v>
      </c>
    </row>
    <row r="9" spans="1:2" x14ac:dyDescent="0.2">
      <c r="A9" t="s">
        <v>47</v>
      </c>
      <c r="B9" t="s">
        <v>33</v>
      </c>
    </row>
    <row r="10" spans="1:2" x14ac:dyDescent="0.2">
      <c r="A10" t="s">
        <v>80</v>
      </c>
      <c r="B10" s="19">
        <v>0.20268203963419157</v>
      </c>
    </row>
    <row r="11" spans="1:2" x14ac:dyDescent="0.2">
      <c r="A11" s="20" t="s">
        <v>40</v>
      </c>
      <c r="B11" s="20" t="s">
        <v>32</v>
      </c>
    </row>
    <row r="12" spans="1:2" x14ac:dyDescent="0.2">
      <c r="A12" s="20" t="s">
        <v>41</v>
      </c>
      <c r="B12" s="20" t="s">
        <v>33</v>
      </c>
    </row>
    <row r="13" spans="1:2" x14ac:dyDescent="0.2">
      <c r="A13" s="22" t="s">
        <v>91</v>
      </c>
      <c r="B13" s="22" t="s">
        <v>34</v>
      </c>
    </row>
    <row r="14" spans="1:2" x14ac:dyDescent="0.2">
      <c r="A14" s="20" t="s">
        <v>92</v>
      </c>
      <c r="B14" s="20" t="s">
        <v>35</v>
      </c>
    </row>
    <row r="15" spans="1:2" x14ac:dyDescent="0.2">
      <c r="A15" s="20" t="s">
        <v>81</v>
      </c>
      <c r="B15" s="20" t="s">
        <v>125</v>
      </c>
    </row>
    <row r="16" spans="1:2" x14ac:dyDescent="0.2">
      <c r="A16" s="20" t="s">
        <v>53</v>
      </c>
      <c r="B16" s="20" t="s">
        <v>126</v>
      </c>
    </row>
    <row r="17" spans="1:2" x14ac:dyDescent="0.2">
      <c r="A17" s="20"/>
      <c r="B17" s="2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F34E-1A68-A745-8557-018C8F48FE61}">
  <sheetPr codeName="Лист9"/>
  <dimension ref="A1:J9"/>
  <sheetViews>
    <sheetView workbookViewId="0">
      <selection activeCell="B9" sqref="B9"/>
    </sheetView>
  </sheetViews>
  <sheetFormatPr baseColWidth="10" defaultRowHeight="16" x14ac:dyDescent="0.2"/>
  <cols>
    <col min="1" max="1" width="17.1640625" customWidth="1"/>
    <col min="2" max="2" width="17.6640625" customWidth="1"/>
    <col min="3" max="3" width="18.83203125" customWidth="1"/>
    <col min="4" max="4" width="24.6640625" customWidth="1"/>
    <col min="5" max="5" width="25.1640625" customWidth="1"/>
    <col min="6" max="6" width="17.33203125" customWidth="1"/>
    <col min="7" max="7" width="14.1640625" customWidth="1"/>
    <col min="8" max="8" width="16.83203125" customWidth="1"/>
    <col min="9" max="9" width="15.5" customWidth="1"/>
    <col min="10" max="10" width="15.33203125" customWidth="1"/>
  </cols>
  <sheetData>
    <row r="1" spans="1:10" x14ac:dyDescent="0.2">
      <c r="A1" s="17" t="s">
        <v>50</v>
      </c>
      <c r="B1" s="17" t="s">
        <v>51</v>
      </c>
      <c r="C1" s="17" t="s">
        <v>90</v>
      </c>
      <c r="D1" s="17" t="s">
        <v>43</v>
      </c>
      <c r="E1" s="17" t="s">
        <v>63</v>
      </c>
      <c r="F1" s="17" t="s">
        <v>52</v>
      </c>
      <c r="G1" s="17" t="s">
        <v>47</v>
      </c>
      <c r="H1" s="17" t="s">
        <v>80</v>
      </c>
      <c r="I1" s="17" t="s">
        <v>68</v>
      </c>
      <c r="J1" s="17" t="s">
        <v>69</v>
      </c>
    </row>
    <row r="2" spans="1:10" x14ac:dyDescent="0.2">
      <c r="A2" s="16">
        <v>46144.620682870373</v>
      </c>
      <c r="B2" s="24">
        <v>59652.37999999999</v>
      </c>
      <c r="C2" s="24">
        <v>59604.904999999999</v>
      </c>
      <c r="D2" s="24">
        <v>-65.778017012231587</v>
      </c>
      <c r="E2" s="19">
        <v>-1.1014743119419903E-3</v>
      </c>
      <c r="F2" s="23">
        <v>6</v>
      </c>
      <c r="G2" t="s">
        <v>32</v>
      </c>
      <c r="H2" s="19">
        <v>0.5107097151865525</v>
      </c>
      <c r="I2" s="19">
        <v>0.10147776165846191</v>
      </c>
      <c r="J2" s="19">
        <v>0.8985222383415381</v>
      </c>
    </row>
    <row r="3" spans="1:10" x14ac:dyDescent="0.2">
      <c r="A3" s="16">
        <v>46144.661886574075</v>
      </c>
      <c r="B3" s="24">
        <v>59652.37999999999</v>
      </c>
      <c r="C3" s="24">
        <v>59604.904999999999</v>
      </c>
      <c r="D3" s="24">
        <v>-65.778017012231587</v>
      </c>
      <c r="E3" s="19">
        <v>-1.1014743119419903E-3</v>
      </c>
      <c r="F3" s="23">
        <v>6</v>
      </c>
      <c r="G3" t="s">
        <v>32</v>
      </c>
      <c r="H3" s="19">
        <v>0.5107097151865525</v>
      </c>
      <c r="I3" s="19">
        <v>0.10147776165846191</v>
      </c>
      <c r="J3" s="19">
        <v>0.8985222383415381</v>
      </c>
    </row>
    <row r="4" spans="1:10" x14ac:dyDescent="0.2">
      <c r="A4" s="16">
        <v>46144.695983796293</v>
      </c>
      <c r="B4" s="24">
        <v>60372.979999999996</v>
      </c>
      <c r="C4" s="24">
        <v>60327.504999999997</v>
      </c>
      <c r="D4" s="24">
        <v>-67.682323232327249</v>
      </c>
      <c r="E4" s="19">
        <v>-1.1198143870490209E-3</v>
      </c>
      <c r="F4" s="23">
        <v>6</v>
      </c>
      <c r="G4" t="s">
        <v>32</v>
      </c>
      <c r="H4" s="19">
        <v>0.50461398460039575</v>
      </c>
      <c r="I4" s="19">
        <v>0.11220234614888978</v>
      </c>
      <c r="J4" s="19">
        <v>0.88779765385111009</v>
      </c>
    </row>
    <row r="5" spans="1:10" x14ac:dyDescent="0.2">
      <c r="A5" s="16">
        <v>46144.828761574077</v>
      </c>
      <c r="B5" s="24">
        <v>65103.87999999999</v>
      </c>
      <c r="C5" s="24">
        <v>65060.404999999999</v>
      </c>
      <c r="D5" s="24">
        <v>-69.682323232326524</v>
      </c>
      <c r="E5" s="19">
        <v>-1.0691808265249141E-3</v>
      </c>
      <c r="F5" s="23">
        <v>6</v>
      </c>
      <c r="G5" t="s">
        <v>32</v>
      </c>
      <c r="H5" s="19">
        <v>0.46794522845642994</v>
      </c>
      <c r="I5" s="19">
        <v>0.10404894454831265</v>
      </c>
      <c r="J5" s="19">
        <v>0.89595105545168752</v>
      </c>
    </row>
    <row r="6" spans="1:10" x14ac:dyDescent="0.2">
      <c r="A6" s="16">
        <v>46145.020613425928</v>
      </c>
      <c r="B6" s="24">
        <v>65103.87999999999</v>
      </c>
      <c r="C6" s="24">
        <v>65060.404999999999</v>
      </c>
      <c r="D6" s="24">
        <v>-69.682323232326524</v>
      </c>
      <c r="E6" s="19">
        <v>-1.0691808265249141E-3</v>
      </c>
      <c r="F6" s="23">
        <v>6</v>
      </c>
      <c r="G6" t="s">
        <v>32</v>
      </c>
      <c r="H6" s="19">
        <v>0.46794522845642994</v>
      </c>
      <c r="I6" s="19">
        <v>0.10404894454831265</v>
      </c>
      <c r="J6" s="19">
        <v>0.89595105545168752</v>
      </c>
    </row>
    <row r="7" spans="1:10" x14ac:dyDescent="0.2">
      <c r="A7" s="16">
        <v>46145.037048611113</v>
      </c>
      <c r="B7" s="24">
        <v>50184.194999999985</v>
      </c>
      <c r="C7" s="24">
        <v>50141.72</v>
      </c>
      <c r="D7" s="24">
        <v>-56.377792441825662</v>
      </c>
      <c r="E7" s="19">
        <v>-1.122156641699498E-3</v>
      </c>
      <c r="F7" s="23">
        <v>6</v>
      </c>
      <c r="G7" t="s">
        <v>33</v>
      </c>
      <c r="H7" s="19">
        <v>0.20268203963419157</v>
      </c>
      <c r="I7" s="19">
        <v>0.34559765280682508</v>
      </c>
      <c r="J7" s="19">
        <v>0.65440234719317492</v>
      </c>
    </row>
    <row r="8" spans="1:10" x14ac:dyDescent="0.2">
      <c r="A8" s="16"/>
      <c r="B8" s="24"/>
      <c r="C8" s="24"/>
      <c r="D8" s="23"/>
    </row>
    <row r="9" spans="1:10" x14ac:dyDescent="0.2">
      <c r="A9" s="16"/>
      <c r="B9" s="24"/>
      <c r="C9" s="24"/>
      <c r="D9" s="2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B826B-251F-DE4A-B151-1D26C2DF15A3}">
  <sheetPr codeName="Лист8"/>
  <dimension ref="A1:G100"/>
  <sheetViews>
    <sheetView topLeftCell="A17" workbookViewId="0">
      <selection activeCell="H29" sqref="H29"/>
    </sheetView>
  </sheetViews>
  <sheetFormatPr baseColWidth="10" defaultRowHeight="16" x14ac:dyDescent="0.2"/>
  <cols>
    <col min="1" max="2" width="25.83203125" customWidth="1"/>
    <col min="3" max="3" width="30.83203125" customWidth="1"/>
    <col min="4" max="4" width="25.83203125" customWidth="1"/>
    <col min="5" max="5" width="50.83203125" customWidth="1"/>
    <col min="6" max="7" width="25.83203125" customWidth="1"/>
  </cols>
  <sheetData>
    <row r="1" spans="1:7" x14ac:dyDescent="0.2">
      <c r="A1" s="50" t="s">
        <v>107</v>
      </c>
      <c r="B1" s="50"/>
      <c r="C1" s="50"/>
      <c r="D1" s="50"/>
      <c r="E1" s="50"/>
      <c r="F1" s="50"/>
      <c r="G1" s="50"/>
    </row>
    <row r="2" spans="1:7" x14ac:dyDescent="0.2">
      <c r="A2" s="50"/>
      <c r="B2" s="50"/>
      <c r="C2" s="50"/>
      <c r="D2" s="50"/>
      <c r="E2" s="50"/>
      <c r="F2" s="50"/>
      <c r="G2" s="50"/>
    </row>
    <row r="3" spans="1:7" x14ac:dyDescent="0.2">
      <c r="A3" s="31" t="s">
        <v>50</v>
      </c>
      <c r="B3" s="31" t="s">
        <v>102</v>
      </c>
      <c r="C3" s="31" t="s">
        <v>3</v>
      </c>
      <c r="D3" s="31" t="s">
        <v>103</v>
      </c>
      <c r="E3" s="31" t="s">
        <v>104</v>
      </c>
      <c r="F3" s="31" t="s">
        <v>105</v>
      </c>
      <c r="G3" s="31" t="s">
        <v>106</v>
      </c>
    </row>
    <row r="4" spans="1:7" x14ac:dyDescent="0.2">
      <c r="A4" s="30">
        <v>46144.657939814817</v>
      </c>
      <c r="B4" s="29" t="s">
        <v>108</v>
      </c>
      <c r="C4" s="29" t="s">
        <v>109</v>
      </c>
      <c r="D4" s="29" t="s">
        <v>110</v>
      </c>
      <c r="E4" s="29" t="s">
        <v>111</v>
      </c>
      <c r="F4" s="29" t="s">
        <v>112</v>
      </c>
      <c r="G4" s="29" t="s">
        <v>113</v>
      </c>
    </row>
    <row r="5" spans="1:7" x14ac:dyDescent="0.2">
      <c r="A5" s="30">
        <v>46144.661886574075</v>
      </c>
      <c r="B5" s="29" t="s">
        <v>114</v>
      </c>
      <c r="C5" s="29" t="s">
        <v>115</v>
      </c>
      <c r="D5" s="29" t="s">
        <v>116</v>
      </c>
      <c r="E5" s="29" t="s">
        <v>117</v>
      </c>
      <c r="F5" s="29" t="s">
        <v>112</v>
      </c>
      <c r="G5" s="29" t="s">
        <v>118</v>
      </c>
    </row>
    <row r="6" spans="1:7" x14ac:dyDescent="0.2">
      <c r="A6" s="30">
        <v>46144.664594907408</v>
      </c>
      <c r="B6" s="29" t="s">
        <v>108</v>
      </c>
      <c r="C6" s="29" t="s">
        <v>109</v>
      </c>
      <c r="D6" s="29" t="s">
        <v>110</v>
      </c>
      <c r="E6" s="29" t="s">
        <v>111</v>
      </c>
      <c r="F6" s="29" t="s">
        <v>112</v>
      </c>
      <c r="G6" s="29" t="s">
        <v>113</v>
      </c>
    </row>
    <row r="7" spans="1:7" x14ac:dyDescent="0.2">
      <c r="A7" s="30">
        <v>46144.664594907408</v>
      </c>
      <c r="B7" s="29" t="s">
        <v>119</v>
      </c>
      <c r="C7" s="29" t="s">
        <v>120</v>
      </c>
      <c r="D7" s="29" t="s">
        <v>116</v>
      </c>
      <c r="E7" s="29" t="s">
        <v>121</v>
      </c>
      <c r="F7" s="29" t="s">
        <v>112</v>
      </c>
      <c r="G7" s="29" t="s">
        <v>122</v>
      </c>
    </row>
    <row r="8" spans="1:7" x14ac:dyDescent="0.2">
      <c r="A8" s="30">
        <v>46144.679386574076</v>
      </c>
      <c r="B8" s="29" t="s">
        <v>108</v>
      </c>
      <c r="C8" s="29" t="s">
        <v>109</v>
      </c>
      <c r="D8" s="29" t="s">
        <v>110</v>
      </c>
      <c r="E8" s="29" t="s">
        <v>111</v>
      </c>
      <c r="F8" s="29" t="s">
        <v>112</v>
      </c>
      <c r="G8" s="29" t="s">
        <v>113</v>
      </c>
    </row>
    <row r="9" spans="1:7" x14ac:dyDescent="0.2">
      <c r="A9" s="30">
        <v>46144.686319444445</v>
      </c>
      <c r="B9" s="29" t="s">
        <v>108</v>
      </c>
      <c r="C9" s="29" t="s">
        <v>109</v>
      </c>
      <c r="D9" s="29" t="s">
        <v>110</v>
      </c>
      <c r="E9" s="29" t="s">
        <v>111</v>
      </c>
      <c r="F9" s="29" t="s">
        <v>112</v>
      </c>
      <c r="G9" s="29" t="s">
        <v>113</v>
      </c>
    </row>
    <row r="10" spans="1:7" x14ac:dyDescent="0.2">
      <c r="A10" s="30">
        <v>46144.695972222224</v>
      </c>
      <c r="B10" s="29" t="s">
        <v>108</v>
      </c>
      <c r="C10" s="29" t="s">
        <v>109</v>
      </c>
      <c r="D10" s="29" t="s">
        <v>110</v>
      </c>
      <c r="E10" s="29" t="s">
        <v>111</v>
      </c>
      <c r="F10" s="29" t="s">
        <v>112</v>
      </c>
      <c r="G10" s="29" t="s">
        <v>113</v>
      </c>
    </row>
    <row r="11" spans="1:7" x14ac:dyDescent="0.2">
      <c r="A11" s="30">
        <v>46144.695983796293</v>
      </c>
      <c r="B11" s="29" t="s">
        <v>114</v>
      </c>
      <c r="C11" s="29" t="s">
        <v>115</v>
      </c>
      <c r="D11" s="29" t="s">
        <v>116</v>
      </c>
      <c r="E11" s="29" t="s">
        <v>117</v>
      </c>
      <c r="F11" s="29" t="s">
        <v>112</v>
      </c>
      <c r="G11" s="29" t="s">
        <v>118</v>
      </c>
    </row>
    <row r="12" spans="1:7" x14ac:dyDescent="0.2">
      <c r="A12" s="30">
        <v>46144.828368055554</v>
      </c>
      <c r="B12" s="29" t="s">
        <v>108</v>
      </c>
      <c r="C12" s="29" t="s">
        <v>109</v>
      </c>
      <c r="D12" s="29" t="s">
        <v>110</v>
      </c>
      <c r="E12" s="29" t="s">
        <v>111</v>
      </c>
      <c r="F12" s="29" t="s">
        <v>112</v>
      </c>
      <c r="G12" s="29" t="s">
        <v>113</v>
      </c>
    </row>
    <row r="13" spans="1:7" x14ac:dyDescent="0.2">
      <c r="A13" s="30">
        <v>46144.828368055554</v>
      </c>
      <c r="B13" s="29" t="s">
        <v>119</v>
      </c>
      <c r="C13" s="29" t="s">
        <v>120</v>
      </c>
      <c r="D13" s="29" t="s">
        <v>116</v>
      </c>
      <c r="E13" s="29" t="s">
        <v>121</v>
      </c>
      <c r="F13" s="29" t="s">
        <v>112</v>
      </c>
      <c r="G13" s="29" t="s">
        <v>122</v>
      </c>
    </row>
    <row r="14" spans="1:7" x14ac:dyDescent="0.2">
      <c r="A14" s="30">
        <v>46144.828726851854</v>
      </c>
      <c r="B14" s="29" t="s">
        <v>108</v>
      </c>
      <c r="C14" s="29" t="s">
        <v>109</v>
      </c>
      <c r="D14" s="29" t="s">
        <v>110</v>
      </c>
      <c r="E14" s="29" t="s">
        <v>111</v>
      </c>
      <c r="F14" s="29" t="s">
        <v>112</v>
      </c>
      <c r="G14" s="29" t="s">
        <v>113</v>
      </c>
    </row>
    <row r="15" spans="1:7" x14ac:dyDescent="0.2">
      <c r="A15" s="30">
        <v>46144.828761574077</v>
      </c>
      <c r="B15" s="29" t="s">
        <v>114</v>
      </c>
      <c r="C15" s="29" t="s">
        <v>115</v>
      </c>
      <c r="D15" s="29" t="s">
        <v>116</v>
      </c>
      <c r="E15" s="29" t="s">
        <v>117</v>
      </c>
      <c r="F15" s="29" t="s">
        <v>112</v>
      </c>
      <c r="G15" s="29" t="s">
        <v>118</v>
      </c>
    </row>
    <row r="16" spans="1:7" x14ac:dyDescent="0.2">
      <c r="A16" s="30">
        <v>46145.020324074074</v>
      </c>
      <c r="B16" s="29" t="s">
        <v>108</v>
      </c>
      <c r="C16" s="29" t="s">
        <v>109</v>
      </c>
      <c r="D16" s="29" t="s">
        <v>110</v>
      </c>
      <c r="E16" s="29" t="s">
        <v>111</v>
      </c>
      <c r="F16" s="29" t="s">
        <v>112</v>
      </c>
      <c r="G16" s="29" t="s">
        <v>113</v>
      </c>
    </row>
    <row r="17" spans="1:7" x14ac:dyDescent="0.2">
      <c r="A17" s="30">
        <v>46145.020613425928</v>
      </c>
      <c r="B17" s="29" t="s">
        <v>114</v>
      </c>
      <c r="C17" s="29" t="s">
        <v>115</v>
      </c>
      <c r="D17" s="29" t="s">
        <v>116</v>
      </c>
      <c r="E17" s="29" t="s">
        <v>117</v>
      </c>
      <c r="F17" s="29" t="s">
        <v>112</v>
      </c>
      <c r="G17" s="29" t="s">
        <v>118</v>
      </c>
    </row>
    <row r="18" spans="1:7" x14ac:dyDescent="0.2">
      <c r="A18" s="30">
        <v>46145.021168981482</v>
      </c>
      <c r="B18" s="29" t="s">
        <v>108</v>
      </c>
      <c r="C18" s="29" t="s">
        <v>109</v>
      </c>
      <c r="D18" s="29" t="s">
        <v>110</v>
      </c>
      <c r="E18" s="29" t="s">
        <v>111</v>
      </c>
      <c r="F18" s="29" t="s">
        <v>112</v>
      </c>
      <c r="G18" s="29" t="s">
        <v>113</v>
      </c>
    </row>
    <row r="19" spans="1:7" x14ac:dyDescent="0.2">
      <c r="A19" s="30">
        <v>46145.021168981482</v>
      </c>
      <c r="B19" s="29" t="s">
        <v>119</v>
      </c>
      <c r="C19" s="29" t="s">
        <v>120</v>
      </c>
      <c r="D19" s="29" t="s">
        <v>116</v>
      </c>
      <c r="E19" s="29" t="s">
        <v>121</v>
      </c>
      <c r="F19" s="29" t="s">
        <v>112</v>
      </c>
      <c r="G19" s="29" t="s">
        <v>122</v>
      </c>
    </row>
    <row r="20" spans="1:7" x14ac:dyDescent="0.2">
      <c r="A20" s="30">
        <v>46145.021307870367</v>
      </c>
      <c r="B20" s="29" t="s">
        <v>108</v>
      </c>
      <c r="C20" s="29" t="s">
        <v>109</v>
      </c>
      <c r="D20" s="29" t="s">
        <v>110</v>
      </c>
      <c r="E20" s="29" t="s">
        <v>111</v>
      </c>
      <c r="F20" s="29" t="s">
        <v>112</v>
      </c>
      <c r="G20" s="29" t="s">
        <v>113</v>
      </c>
    </row>
    <row r="21" spans="1:7" x14ac:dyDescent="0.2">
      <c r="A21" s="30">
        <v>46145.031597222223</v>
      </c>
      <c r="B21" s="29" t="s">
        <v>108</v>
      </c>
      <c r="C21" s="29" t="s">
        <v>109</v>
      </c>
      <c r="D21" s="29" t="s">
        <v>110</v>
      </c>
      <c r="E21" s="29" t="s">
        <v>111</v>
      </c>
      <c r="F21" s="29" t="s">
        <v>112</v>
      </c>
      <c r="G21" s="29" t="s">
        <v>113</v>
      </c>
    </row>
    <row r="22" spans="1:7" x14ac:dyDescent="0.2">
      <c r="A22" s="30">
        <v>46145.031597222223</v>
      </c>
      <c r="B22" s="29" t="s">
        <v>119</v>
      </c>
      <c r="C22" s="29" t="s">
        <v>120</v>
      </c>
      <c r="D22" s="29" t="s">
        <v>116</v>
      </c>
      <c r="E22" s="29" t="s">
        <v>121</v>
      </c>
      <c r="F22" s="29" t="s">
        <v>112</v>
      </c>
      <c r="G22" s="29" t="s">
        <v>122</v>
      </c>
    </row>
    <row r="23" spans="1:7" x14ac:dyDescent="0.2">
      <c r="A23" s="30">
        <v>46145.031851851854</v>
      </c>
      <c r="B23" s="29" t="s">
        <v>108</v>
      </c>
      <c r="C23" s="29" t="s">
        <v>109</v>
      </c>
      <c r="D23" s="29" t="s">
        <v>110</v>
      </c>
      <c r="E23" s="29" t="s">
        <v>111</v>
      </c>
      <c r="F23" s="29" t="s">
        <v>112</v>
      </c>
      <c r="G23" s="29" t="s">
        <v>113</v>
      </c>
    </row>
    <row r="24" spans="1:7" x14ac:dyDescent="0.2">
      <c r="A24" s="30">
        <v>46145.031851851854</v>
      </c>
      <c r="B24" s="29" t="s">
        <v>119</v>
      </c>
      <c r="C24" s="29" t="s">
        <v>120</v>
      </c>
      <c r="D24" s="29" t="s">
        <v>116</v>
      </c>
      <c r="E24" s="29" t="s">
        <v>121</v>
      </c>
      <c r="F24" s="29" t="s">
        <v>112</v>
      </c>
      <c r="G24" s="29" t="s">
        <v>122</v>
      </c>
    </row>
    <row r="25" spans="1:7" x14ac:dyDescent="0.2">
      <c r="A25" s="30">
        <v>46145.032129629632</v>
      </c>
      <c r="B25" s="29" t="s">
        <v>108</v>
      </c>
      <c r="C25" s="29" t="s">
        <v>109</v>
      </c>
      <c r="D25" s="29" t="s">
        <v>110</v>
      </c>
      <c r="E25" s="29" t="s">
        <v>111</v>
      </c>
      <c r="F25" s="29" t="s">
        <v>112</v>
      </c>
      <c r="G25" s="29" t="s">
        <v>113</v>
      </c>
    </row>
    <row r="26" spans="1:7" x14ac:dyDescent="0.2">
      <c r="A26" s="30">
        <v>46145.032847222225</v>
      </c>
      <c r="B26" s="29" t="s">
        <v>108</v>
      </c>
      <c r="C26" s="29" t="s">
        <v>109</v>
      </c>
      <c r="D26" s="29" t="s">
        <v>110</v>
      </c>
      <c r="E26" s="29" t="s">
        <v>111</v>
      </c>
      <c r="F26" s="29" t="s">
        <v>112</v>
      </c>
      <c r="G26" s="29" t="s">
        <v>113</v>
      </c>
    </row>
    <row r="27" spans="1:7" x14ac:dyDescent="0.2">
      <c r="A27" s="30">
        <v>46145.032847222225</v>
      </c>
      <c r="B27" s="29" t="s">
        <v>119</v>
      </c>
      <c r="C27" s="29" t="s">
        <v>120</v>
      </c>
      <c r="D27" s="29" t="s">
        <v>116</v>
      </c>
      <c r="E27" s="29" t="s">
        <v>121</v>
      </c>
      <c r="F27" s="29" t="s">
        <v>112</v>
      </c>
      <c r="G27" s="29" t="s">
        <v>122</v>
      </c>
    </row>
    <row r="28" spans="1:7" x14ac:dyDescent="0.2">
      <c r="A28" s="30">
        <v>46145.032997685186</v>
      </c>
      <c r="B28" s="29" t="s">
        <v>108</v>
      </c>
      <c r="C28" s="29" t="s">
        <v>109</v>
      </c>
      <c r="D28" s="29" t="s">
        <v>110</v>
      </c>
      <c r="E28" s="29" t="s">
        <v>111</v>
      </c>
      <c r="F28" s="29" t="s">
        <v>112</v>
      </c>
      <c r="G28" s="29" t="s">
        <v>113</v>
      </c>
    </row>
    <row r="29" spans="1:7" x14ac:dyDescent="0.2">
      <c r="A29" s="30">
        <v>46145.033483796295</v>
      </c>
      <c r="B29" s="29" t="s">
        <v>108</v>
      </c>
      <c r="C29" s="29" t="s">
        <v>109</v>
      </c>
      <c r="D29" s="29" t="s">
        <v>110</v>
      </c>
      <c r="E29" s="29" t="s">
        <v>111</v>
      </c>
      <c r="F29" s="29" t="s">
        <v>112</v>
      </c>
      <c r="G29" s="29" t="s">
        <v>113</v>
      </c>
    </row>
    <row r="30" spans="1:7" x14ac:dyDescent="0.2">
      <c r="A30" s="30">
        <v>46145.033483796295</v>
      </c>
      <c r="B30" s="29" t="s">
        <v>119</v>
      </c>
      <c r="C30" s="29" t="s">
        <v>120</v>
      </c>
      <c r="D30" s="29" t="s">
        <v>116</v>
      </c>
      <c r="E30" s="29" t="s">
        <v>121</v>
      </c>
      <c r="F30" s="29" t="s">
        <v>112</v>
      </c>
      <c r="G30" s="29" t="s">
        <v>122</v>
      </c>
    </row>
    <row r="31" spans="1:7" x14ac:dyDescent="0.2">
      <c r="A31" s="30">
        <v>46145.033912037034</v>
      </c>
      <c r="B31" s="29" t="s">
        <v>108</v>
      </c>
      <c r="C31" s="29" t="s">
        <v>109</v>
      </c>
      <c r="D31" s="29" t="s">
        <v>110</v>
      </c>
      <c r="E31" s="29" t="s">
        <v>111</v>
      </c>
      <c r="F31" s="29" t="s">
        <v>112</v>
      </c>
      <c r="G31" s="29" t="s">
        <v>113</v>
      </c>
    </row>
    <row r="32" spans="1:7" x14ac:dyDescent="0.2">
      <c r="A32" s="30">
        <v>46145.033912037034</v>
      </c>
      <c r="B32" s="29" t="s">
        <v>119</v>
      </c>
      <c r="C32" s="29" t="s">
        <v>120</v>
      </c>
      <c r="D32" s="29" t="s">
        <v>116</v>
      </c>
      <c r="E32" s="29" t="s">
        <v>121</v>
      </c>
      <c r="F32" s="29" t="s">
        <v>112</v>
      </c>
      <c r="G32" s="29" t="s">
        <v>122</v>
      </c>
    </row>
    <row r="33" spans="1:7" x14ac:dyDescent="0.2">
      <c r="A33" s="30">
        <v>46145.034270833334</v>
      </c>
      <c r="B33" s="29" t="s">
        <v>108</v>
      </c>
      <c r="C33" s="29" t="s">
        <v>109</v>
      </c>
      <c r="D33" s="29" t="s">
        <v>110</v>
      </c>
      <c r="E33" s="29" t="s">
        <v>111</v>
      </c>
      <c r="F33" s="29" t="s">
        <v>112</v>
      </c>
      <c r="G33" s="29" t="s">
        <v>113</v>
      </c>
    </row>
    <row r="34" spans="1:7" x14ac:dyDescent="0.2">
      <c r="A34" s="30">
        <v>46145.034270833334</v>
      </c>
      <c r="B34" s="29" t="s">
        <v>119</v>
      </c>
      <c r="C34" s="29" t="s">
        <v>120</v>
      </c>
      <c r="D34" s="29" t="s">
        <v>116</v>
      </c>
      <c r="E34" s="29" t="s">
        <v>121</v>
      </c>
      <c r="F34" s="29" t="s">
        <v>112</v>
      </c>
      <c r="G34" s="29" t="s">
        <v>122</v>
      </c>
    </row>
    <row r="35" spans="1:7" x14ac:dyDescent="0.2">
      <c r="A35" s="30">
        <v>46145.03466435185</v>
      </c>
      <c r="B35" s="29" t="s">
        <v>108</v>
      </c>
      <c r="C35" s="29" t="s">
        <v>109</v>
      </c>
      <c r="D35" s="29" t="s">
        <v>110</v>
      </c>
      <c r="E35" s="29" t="s">
        <v>111</v>
      </c>
      <c r="F35" s="29" t="s">
        <v>112</v>
      </c>
      <c r="G35" s="29" t="s">
        <v>113</v>
      </c>
    </row>
    <row r="36" spans="1:7" x14ac:dyDescent="0.2">
      <c r="A36" s="30">
        <v>46145.03466435185</v>
      </c>
      <c r="B36" s="29" t="s">
        <v>119</v>
      </c>
      <c r="C36" s="29" t="s">
        <v>120</v>
      </c>
      <c r="D36" s="29" t="s">
        <v>116</v>
      </c>
      <c r="E36" s="29" t="s">
        <v>121</v>
      </c>
      <c r="F36" s="29" t="s">
        <v>112</v>
      </c>
      <c r="G36" s="29" t="s">
        <v>122</v>
      </c>
    </row>
    <row r="37" spans="1:7" x14ac:dyDescent="0.2">
      <c r="A37" s="30">
        <v>46145.036145833335</v>
      </c>
      <c r="B37" s="29" t="s">
        <v>108</v>
      </c>
      <c r="C37" s="29" t="s">
        <v>109</v>
      </c>
      <c r="D37" s="29" t="s">
        <v>116</v>
      </c>
      <c r="E37" s="29" t="s">
        <v>127</v>
      </c>
      <c r="F37" s="29" t="s">
        <v>112</v>
      </c>
      <c r="G37" s="29" t="s">
        <v>113</v>
      </c>
    </row>
    <row r="38" spans="1:7" x14ac:dyDescent="0.2">
      <c r="A38" s="30">
        <v>46145.036145833335</v>
      </c>
      <c r="B38" s="29" t="s">
        <v>119</v>
      </c>
      <c r="C38" s="29" t="s">
        <v>120</v>
      </c>
      <c r="D38" s="29" t="s">
        <v>116</v>
      </c>
      <c r="E38" s="29" t="s">
        <v>121</v>
      </c>
      <c r="F38" s="29" t="s">
        <v>112</v>
      </c>
      <c r="G38" s="29" t="s">
        <v>122</v>
      </c>
    </row>
    <row r="39" spans="1:7" x14ac:dyDescent="0.2">
      <c r="A39" s="30">
        <v>46145.036620370367</v>
      </c>
      <c r="B39" s="29" t="s">
        <v>108</v>
      </c>
      <c r="C39" s="29" t="s">
        <v>109</v>
      </c>
      <c r="D39" s="29" t="s">
        <v>116</v>
      </c>
      <c r="E39" s="29" t="s">
        <v>127</v>
      </c>
      <c r="F39" s="29" t="s">
        <v>112</v>
      </c>
      <c r="G39" s="29" t="s">
        <v>113</v>
      </c>
    </row>
    <row r="40" spans="1:7" x14ac:dyDescent="0.2">
      <c r="A40" s="30">
        <v>46145.036620370367</v>
      </c>
      <c r="B40" s="29" t="s">
        <v>119</v>
      </c>
      <c r="C40" s="29" t="s">
        <v>120</v>
      </c>
      <c r="D40" s="29" t="s">
        <v>116</v>
      </c>
      <c r="E40" s="29" t="s">
        <v>121</v>
      </c>
      <c r="F40" s="29" t="s">
        <v>112</v>
      </c>
      <c r="G40" s="29" t="s">
        <v>122</v>
      </c>
    </row>
    <row r="41" spans="1:7" x14ac:dyDescent="0.2">
      <c r="A41" s="30">
        <v>46145.037048611113</v>
      </c>
      <c r="B41" s="29" t="s">
        <v>114</v>
      </c>
      <c r="C41" s="29" t="s">
        <v>115</v>
      </c>
      <c r="D41" s="29" t="s">
        <v>116</v>
      </c>
      <c r="E41" s="29" t="s">
        <v>117</v>
      </c>
      <c r="F41" s="29" t="s">
        <v>112</v>
      </c>
      <c r="G41" s="29" t="s">
        <v>118</v>
      </c>
    </row>
    <row r="42" spans="1:7" x14ac:dyDescent="0.2">
      <c r="A42" s="30">
        <v>46145.037083333336</v>
      </c>
      <c r="B42" s="29" t="s">
        <v>108</v>
      </c>
      <c r="C42" s="29" t="s">
        <v>109</v>
      </c>
      <c r="D42" s="29" t="s">
        <v>116</v>
      </c>
      <c r="E42" s="29" t="s">
        <v>127</v>
      </c>
      <c r="F42" s="29" t="s">
        <v>112</v>
      </c>
      <c r="G42" s="29" t="s">
        <v>113</v>
      </c>
    </row>
    <row r="43" spans="1:7" x14ac:dyDescent="0.2">
      <c r="A43" s="29"/>
      <c r="B43" s="29"/>
      <c r="C43" s="29"/>
      <c r="D43" s="29"/>
      <c r="E43" s="29"/>
      <c r="F43" s="29"/>
      <c r="G43" s="29"/>
    </row>
    <row r="44" spans="1:7" x14ac:dyDescent="0.2">
      <c r="A44" s="29"/>
      <c r="B44" s="29"/>
      <c r="C44" s="29"/>
      <c r="D44" s="29"/>
      <c r="E44" s="29"/>
      <c r="F44" s="29"/>
      <c r="G44" s="29"/>
    </row>
    <row r="45" spans="1:7" x14ac:dyDescent="0.2">
      <c r="A45" s="29"/>
      <c r="B45" s="29"/>
      <c r="C45" s="29"/>
      <c r="D45" s="29"/>
      <c r="E45" s="29"/>
      <c r="F45" s="29"/>
      <c r="G45" s="29"/>
    </row>
    <row r="46" spans="1:7" x14ac:dyDescent="0.2">
      <c r="A46" s="29"/>
      <c r="B46" s="29"/>
      <c r="C46" s="29"/>
      <c r="D46" s="29"/>
      <c r="E46" s="29"/>
      <c r="F46" s="29"/>
      <c r="G46" s="29"/>
    </row>
    <row r="47" spans="1:7" x14ac:dyDescent="0.2">
      <c r="A47" s="29"/>
      <c r="B47" s="29"/>
      <c r="C47" s="29"/>
      <c r="D47" s="29"/>
      <c r="E47" s="29"/>
      <c r="F47" s="29"/>
      <c r="G47" s="29"/>
    </row>
    <row r="48" spans="1:7" x14ac:dyDescent="0.2">
      <c r="A48" s="29"/>
      <c r="B48" s="29"/>
      <c r="C48" s="29"/>
      <c r="D48" s="29"/>
      <c r="E48" s="29"/>
      <c r="F48" s="29"/>
      <c r="G48" s="29"/>
    </row>
    <row r="49" spans="1:7" x14ac:dyDescent="0.2">
      <c r="A49" s="29"/>
      <c r="B49" s="29"/>
      <c r="C49" s="29"/>
      <c r="D49" s="29"/>
      <c r="E49" s="29"/>
      <c r="F49" s="29"/>
      <c r="G49" s="29"/>
    </row>
    <row r="50" spans="1:7" x14ac:dyDescent="0.2">
      <c r="A50" s="29"/>
      <c r="B50" s="29"/>
      <c r="C50" s="29"/>
      <c r="D50" s="29"/>
      <c r="E50" s="29"/>
      <c r="F50" s="29"/>
      <c r="G50" s="29"/>
    </row>
    <row r="51" spans="1:7" x14ac:dyDescent="0.2">
      <c r="A51" s="29"/>
      <c r="B51" s="29"/>
      <c r="C51" s="29"/>
      <c r="D51" s="29"/>
      <c r="E51" s="29"/>
      <c r="F51" s="29"/>
      <c r="G51" s="29"/>
    </row>
    <row r="52" spans="1:7" x14ac:dyDescent="0.2">
      <c r="A52" s="29"/>
      <c r="B52" s="29"/>
      <c r="C52" s="29"/>
      <c r="D52" s="29"/>
      <c r="E52" s="29"/>
      <c r="F52" s="29"/>
      <c r="G52" s="29"/>
    </row>
    <row r="53" spans="1:7" x14ac:dyDescent="0.2">
      <c r="A53" s="29"/>
      <c r="B53" s="29"/>
      <c r="C53" s="29"/>
      <c r="D53" s="29"/>
      <c r="E53" s="29"/>
      <c r="F53" s="29"/>
      <c r="G53" s="29"/>
    </row>
    <row r="54" spans="1:7" x14ac:dyDescent="0.2">
      <c r="A54" s="29"/>
      <c r="B54" s="29"/>
      <c r="C54" s="29"/>
      <c r="D54" s="29"/>
      <c r="E54" s="29"/>
      <c r="F54" s="29"/>
      <c r="G54" s="29"/>
    </row>
    <row r="55" spans="1:7" x14ac:dyDescent="0.2">
      <c r="A55" s="29"/>
      <c r="B55" s="29"/>
      <c r="C55" s="29"/>
      <c r="D55" s="29"/>
      <c r="E55" s="29"/>
      <c r="F55" s="29"/>
      <c r="G55" s="29"/>
    </row>
    <row r="56" spans="1:7" x14ac:dyDescent="0.2">
      <c r="A56" s="29"/>
      <c r="B56" s="29"/>
      <c r="C56" s="29"/>
      <c r="D56" s="29"/>
      <c r="E56" s="29"/>
      <c r="F56" s="29"/>
      <c r="G56" s="29"/>
    </row>
    <row r="57" spans="1:7" x14ac:dyDescent="0.2">
      <c r="A57" s="29"/>
      <c r="B57" s="29"/>
      <c r="C57" s="29"/>
      <c r="D57" s="29"/>
      <c r="E57" s="29"/>
      <c r="F57" s="29"/>
      <c r="G57" s="29"/>
    </row>
    <row r="58" spans="1:7" x14ac:dyDescent="0.2">
      <c r="A58" s="29"/>
      <c r="B58" s="29"/>
      <c r="C58" s="29"/>
      <c r="D58" s="29"/>
      <c r="E58" s="29"/>
      <c r="F58" s="29"/>
      <c r="G58" s="29"/>
    </row>
    <row r="59" spans="1:7" x14ac:dyDescent="0.2">
      <c r="A59" s="29"/>
      <c r="B59" s="29"/>
      <c r="C59" s="29"/>
      <c r="D59" s="29"/>
      <c r="E59" s="29"/>
      <c r="F59" s="29"/>
      <c r="G59" s="29"/>
    </row>
    <row r="60" spans="1:7" x14ac:dyDescent="0.2">
      <c r="A60" s="29"/>
      <c r="B60" s="29"/>
      <c r="C60" s="29"/>
      <c r="D60" s="29"/>
      <c r="E60" s="29"/>
      <c r="F60" s="29"/>
      <c r="G60" s="29"/>
    </row>
    <row r="61" spans="1:7" x14ac:dyDescent="0.2">
      <c r="A61" s="29"/>
      <c r="B61" s="29"/>
      <c r="C61" s="29"/>
      <c r="D61" s="29"/>
      <c r="E61" s="29"/>
      <c r="F61" s="29"/>
      <c r="G61" s="29"/>
    </row>
    <row r="62" spans="1:7" x14ac:dyDescent="0.2">
      <c r="A62" s="29"/>
      <c r="B62" s="29"/>
      <c r="C62" s="29"/>
      <c r="D62" s="29"/>
      <c r="E62" s="29"/>
      <c r="F62" s="29"/>
      <c r="G62" s="29"/>
    </row>
    <row r="63" spans="1:7" x14ac:dyDescent="0.2">
      <c r="A63" s="29"/>
      <c r="B63" s="29"/>
      <c r="C63" s="29"/>
      <c r="D63" s="29"/>
      <c r="E63" s="29"/>
      <c r="F63" s="29"/>
      <c r="G63" s="29"/>
    </row>
    <row r="64" spans="1:7" x14ac:dyDescent="0.2">
      <c r="A64" s="29"/>
      <c r="B64" s="29"/>
      <c r="C64" s="29"/>
      <c r="D64" s="29"/>
      <c r="E64" s="29"/>
      <c r="F64" s="29"/>
      <c r="G64" s="29"/>
    </row>
    <row r="65" spans="1:7" x14ac:dyDescent="0.2">
      <c r="A65" s="29"/>
      <c r="B65" s="29"/>
      <c r="C65" s="29"/>
      <c r="D65" s="29"/>
      <c r="E65" s="29"/>
      <c r="F65" s="29"/>
      <c r="G65" s="29"/>
    </row>
    <row r="66" spans="1:7" x14ac:dyDescent="0.2">
      <c r="A66" s="29"/>
      <c r="B66" s="29"/>
      <c r="C66" s="29"/>
      <c r="D66" s="29"/>
      <c r="E66" s="29"/>
      <c r="F66" s="29"/>
      <c r="G66" s="29"/>
    </row>
    <row r="67" spans="1:7" x14ac:dyDescent="0.2">
      <c r="A67" s="29"/>
      <c r="B67" s="29"/>
      <c r="C67" s="29"/>
      <c r="D67" s="29"/>
      <c r="E67" s="29"/>
      <c r="F67" s="29"/>
      <c r="G67" s="29"/>
    </row>
    <row r="68" spans="1:7" x14ac:dyDescent="0.2">
      <c r="A68" s="29"/>
      <c r="B68" s="29"/>
      <c r="C68" s="29"/>
      <c r="D68" s="29"/>
      <c r="E68" s="29"/>
      <c r="F68" s="29"/>
      <c r="G68" s="29"/>
    </row>
    <row r="69" spans="1:7" x14ac:dyDescent="0.2">
      <c r="A69" s="29"/>
      <c r="B69" s="29"/>
      <c r="C69" s="29"/>
      <c r="D69" s="29"/>
      <c r="E69" s="29"/>
      <c r="F69" s="29"/>
      <c r="G69" s="29"/>
    </row>
    <row r="70" spans="1:7" x14ac:dyDescent="0.2">
      <c r="A70" s="29"/>
      <c r="B70" s="29"/>
      <c r="C70" s="29"/>
      <c r="D70" s="29"/>
      <c r="E70" s="29"/>
      <c r="F70" s="29"/>
      <c r="G70" s="29"/>
    </row>
    <row r="71" spans="1:7" x14ac:dyDescent="0.2">
      <c r="A71" s="29"/>
      <c r="B71" s="29"/>
      <c r="C71" s="29"/>
      <c r="D71" s="29"/>
      <c r="E71" s="29"/>
      <c r="F71" s="29"/>
      <c r="G71" s="29"/>
    </row>
    <row r="72" spans="1:7" x14ac:dyDescent="0.2">
      <c r="A72" s="29"/>
      <c r="B72" s="29"/>
      <c r="C72" s="29"/>
      <c r="D72" s="29"/>
      <c r="E72" s="29"/>
      <c r="F72" s="29"/>
      <c r="G72" s="29"/>
    </row>
    <row r="73" spans="1:7" x14ac:dyDescent="0.2">
      <c r="A73" s="29"/>
      <c r="B73" s="29"/>
      <c r="C73" s="29"/>
      <c r="D73" s="29"/>
      <c r="E73" s="29"/>
      <c r="F73" s="29"/>
      <c r="G73" s="29"/>
    </row>
    <row r="74" spans="1:7" x14ac:dyDescent="0.2">
      <c r="A74" s="29"/>
      <c r="B74" s="29"/>
      <c r="C74" s="29"/>
      <c r="D74" s="29"/>
      <c r="E74" s="29"/>
      <c r="F74" s="29"/>
      <c r="G74" s="29"/>
    </row>
    <row r="75" spans="1:7" x14ac:dyDescent="0.2">
      <c r="A75" s="29"/>
      <c r="B75" s="29"/>
      <c r="C75" s="29"/>
      <c r="D75" s="29"/>
      <c r="E75" s="29"/>
      <c r="F75" s="29"/>
      <c r="G75" s="29"/>
    </row>
    <row r="76" spans="1:7" x14ac:dyDescent="0.2">
      <c r="A76" s="29"/>
      <c r="B76" s="29"/>
      <c r="C76" s="29"/>
      <c r="D76" s="29"/>
      <c r="E76" s="29"/>
      <c r="F76" s="29"/>
      <c r="G76" s="29"/>
    </row>
    <row r="77" spans="1:7" x14ac:dyDescent="0.2">
      <c r="A77" s="29"/>
      <c r="B77" s="29"/>
      <c r="C77" s="29"/>
      <c r="D77" s="29"/>
      <c r="E77" s="29"/>
      <c r="F77" s="29"/>
      <c r="G77" s="29"/>
    </row>
    <row r="78" spans="1:7" x14ac:dyDescent="0.2">
      <c r="A78" s="29"/>
      <c r="B78" s="29"/>
      <c r="C78" s="29"/>
      <c r="D78" s="29"/>
      <c r="E78" s="29"/>
      <c r="F78" s="29"/>
      <c r="G78" s="29"/>
    </row>
    <row r="79" spans="1:7" x14ac:dyDescent="0.2">
      <c r="A79" s="29"/>
      <c r="B79" s="29"/>
      <c r="C79" s="29"/>
      <c r="D79" s="29"/>
      <c r="E79" s="29"/>
      <c r="F79" s="29"/>
      <c r="G79" s="29"/>
    </row>
    <row r="80" spans="1:7" x14ac:dyDescent="0.2">
      <c r="A80" s="29"/>
      <c r="B80" s="29"/>
      <c r="C80" s="29"/>
      <c r="D80" s="29"/>
      <c r="E80" s="29"/>
      <c r="F80" s="29"/>
      <c r="G80" s="29"/>
    </row>
    <row r="81" spans="1:7" x14ac:dyDescent="0.2">
      <c r="A81" s="29"/>
      <c r="B81" s="29"/>
      <c r="C81" s="29"/>
      <c r="D81" s="29"/>
      <c r="E81" s="29"/>
      <c r="F81" s="29"/>
      <c r="G81" s="29"/>
    </row>
    <row r="82" spans="1:7" x14ac:dyDescent="0.2">
      <c r="A82" s="29"/>
      <c r="B82" s="29"/>
      <c r="C82" s="29"/>
      <c r="D82" s="29"/>
      <c r="E82" s="29"/>
      <c r="F82" s="29"/>
      <c r="G82" s="29"/>
    </row>
    <row r="83" spans="1:7" x14ac:dyDescent="0.2">
      <c r="A83" s="29"/>
      <c r="B83" s="29"/>
      <c r="C83" s="29"/>
      <c r="D83" s="29"/>
      <c r="E83" s="29"/>
      <c r="F83" s="29"/>
      <c r="G83" s="29"/>
    </row>
    <row r="84" spans="1:7" x14ac:dyDescent="0.2">
      <c r="A84" s="29"/>
      <c r="B84" s="29"/>
      <c r="C84" s="29"/>
      <c r="D84" s="29"/>
      <c r="E84" s="29"/>
      <c r="F84" s="29"/>
      <c r="G84" s="29"/>
    </row>
    <row r="85" spans="1:7" x14ac:dyDescent="0.2">
      <c r="A85" s="29"/>
      <c r="B85" s="29"/>
      <c r="C85" s="29"/>
      <c r="D85" s="29"/>
      <c r="E85" s="29"/>
      <c r="F85" s="29"/>
      <c r="G85" s="29"/>
    </row>
    <row r="86" spans="1:7" x14ac:dyDescent="0.2">
      <c r="A86" s="29"/>
      <c r="B86" s="29"/>
      <c r="C86" s="29"/>
      <c r="D86" s="29"/>
      <c r="E86" s="29"/>
      <c r="F86" s="29"/>
      <c r="G86" s="29"/>
    </row>
    <row r="87" spans="1:7" x14ac:dyDescent="0.2">
      <c r="A87" s="29"/>
      <c r="B87" s="29"/>
      <c r="C87" s="29"/>
      <c r="D87" s="29"/>
      <c r="E87" s="29"/>
      <c r="F87" s="29"/>
      <c r="G87" s="29"/>
    </row>
    <row r="88" spans="1:7" x14ac:dyDescent="0.2">
      <c r="A88" s="29"/>
      <c r="B88" s="29"/>
      <c r="C88" s="29"/>
      <c r="D88" s="29"/>
      <c r="E88" s="29"/>
      <c r="F88" s="29"/>
      <c r="G88" s="29"/>
    </row>
    <row r="89" spans="1:7" x14ac:dyDescent="0.2">
      <c r="A89" s="29"/>
      <c r="B89" s="29"/>
      <c r="C89" s="29"/>
      <c r="D89" s="29"/>
      <c r="E89" s="29"/>
      <c r="F89" s="29"/>
      <c r="G89" s="29"/>
    </row>
    <row r="90" spans="1:7" x14ac:dyDescent="0.2">
      <c r="A90" s="29"/>
      <c r="B90" s="29"/>
      <c r="C90" s="29"/>
      <c r="D90" s="29"/>
      <c r="E90" s="29"/>
      <c r="F90" s="29"/>
      <c r="G90" s="29"/>
    </row>
    <row r="91" spans="1:7" x14ac:dyDescent="0.2">
      <c r="A91" s="29"/>
      <c r="B91" s="29"/>
      <c r="C91" s="29"/>
      <c r="D91" s="29"/>
      <c r="E91" s="29"/>
      <c r="F91" s="29"/>
      <c r="G91" s="29"/>
    </row>
    <row r="92" spans="1:7" x14ac:dyDescent="0.2">
      <c r="A92" s="29"/>
      <c r="B92" s="29"/>
      <c r="C92" s="29"/>
      <c r="D92" s="29"/>
      <c r="E92" s="29"/>
      <c r="F92" s="29"/>
      <c r="G92" s="29"/>
    </row>
    <row r="93" spans="1:7" x14ac:dyDescent="0.2">
      <c r="A93" s="29"/>
      <c r="B93" s="29"/>
      <c r="C93" s="29"/>
      <c r="D93" s="29"/>
      <c r="E93" s="29"/>
      <c r="F93" s="29"/>
      <c r="G93" s="29"/>
    </row>
    <row r="94" spans="1:7" x14ac:dyDescent="0.2">
      <c r="A94" s="29"/>
      <c r="B94" s="29"/>
      <c r="C94" s="29"/>
      <c r="D94" s="29"/>
      <c r="E94" s="29"/>
      <c r="F94" s="29"/>
      <c r="G94" s="29"/>
    </row>
    <row r="95" spans="1:7" x14ac:dyDescent="0.2">
      <c r="A95" s="29"/>
      <c r="B95" s="29"/>
      <c r="C95" s="29"/>
      <c r="D95" s="29"/>
      <c r="E95" s="29"/>
      <c r="F95" s="29"/>
      <c r="G95" s="29"/>
    </row>
    <row r="96" spans="1:7" x14ac:dyDescent="0.2">
      <c r="A96" s="29"/>
      <c r="B96" s="29"/>
      <c r="C96" s="29"/>
      <c r="D96" s="29"/>
      <c r="E96" s="29"/>
      <c r="F96" s="29"/>
      <c r="G96" s="29"/>
    </row>
    <row r="97" spans="1:7" x14ac:dyDescent="0.2">
      <c r="A97" s="29"/>
      <c r="B97" s="29"/>
      <c r="C97" s="29"/>
      <c r="D97" s="29"/>
      <c r="E97" s="29"/>
      <c r="F97" s="29"/>
      <c r="G97" s="29"/>
    </row>
    <row r="98" spans="1:7" x14ac:dyDescent="0.2">
      <c r="A98" s="29"/>
      <c r="B98" s="29"/>
      <c r="C98" s="29"/>
      <c r="D98" s="29"/>
      <c r="E98" s="29"/>
      <c r="F98" s="29"/>
      <c r="G98" s="29"/>
    </row>
    <row r="99" spans="1:7" x14ac:dyDescent="0.2">
      <c r="A99" s="29"/>
      <c r="B99" s="29"/>
      <c r="C99" s="29"/>
      <c r="D99" s="29"/>
      <c r="E99" s="29"/>
      <c r="F99" s="29"/>
      <c r="G99" s="29"/>
    </row>
    <row r="100" spans="1:7" x14ac:dyDescent="0.2">
      <c r="A100" s="29"/>
      <c r="B100" s="29"/>
      <c r="C100" s="29"/>
      <c r="D100" s="29"/>
      <c r="E100" s="29"/>
      <c r="F100" s="29"/>
      <c r="G100" s="29"/>
    </row>
  </sheetData>
  <autoFilter ref="A3:G3" xr:uid="{68BB826B-251F-DE4A-B151-1D26C2DF15A3}"/>
  <mergeCells count="1">
    <mergeCell ref="A1:G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38E9-C0DC-6D4A-816B-9799C90C52DA}">
  <sheetPr codeName="Лист6"/>
  <dimension ref="A1:E7"/>
  <sheetViews>
    <sheetView workbookViewId="0">
      <selection activeCell="H13" sqref="H13"/>
    </sheetView>
  </sheetViews>
  <sheetFormatPr baseColWidth="10" defaultRowHeight="16" x14ac:dyDescent="0.2"/>
  <cols>
    <col min="1" max="3" width="15.83203125" customWidth="1"/>
    <col min="5" max="5" width="15.83203125" customWidth="1"/>
  </cols>
  <sheetData>
    <row r="1" spans="1:5" x14ac:dyDescent="0.2">
      <c r="A1" s="28" t="s">
        <v>2</v>
      </c>
      <c r="B1" s="28" t="s">
        <v>3</v>
      </c>
      <c r="C1" s="28" t="s">
        <v>9</v>
      </c>
      <c r="D1" s="29"/>
      <c r="E1" s="28" t="s">
        <v>1</v>
      </c>
    </row>
    <row r="2" spans="1:5" x14ac:dyDescent="0.2">
      <c r="A2" s="9" t="s">
        <v>11</v>
      </c>
      <c r="B2" s="9" t="s">
        <v>15</v>
      </c>
      <c r="C2" s="9" t="s">
        <v>49</v>
      </c>
      <c r="D2" s="29"/>
      <c r="E2" s="9" t="s">
        <v>30</v>
      </c>
    </row>
    <row r="3" spans="1:5" x14ac:dyDescent="0.2">
      <c r="A3" s="9" t="s">
        <v>12</v>
      </c>
      <c r="B3" s="9" t="s">
        <v>16</v>
      </c>
      <c r="C3" s="9" t="s">
        <v>19</v>
      </c>
      <c r="D3" s="29"/>
      <c r="E3" s="9" t="s">
        <v>31</v>
      </c>
    </row>
    <row r="4" spans="1:5" x14ac:dyDescent="0.2">
      <c r="A4" s="9" t="s">
        <v>13</v>
      </c>
      <c r="B4" s="9" t="s">
        <v>17</v>
      </c>
      <c r="C4" s="9" t="s">
        <v>20</v>
      </c>
      <c r="D4" s="29"/>
      <c r="E4" s="9" t="s">
        <v>32</v>
      </c>
    </row>
    <row r="5" spans="1:5" x14ac:dyDescent="0.2">
      <c r="A5" s="9" t="s">
        <v>14</v>
      </c>
      <c r="B5" s="9" t="s">
        <v>18</v>
      </c>
      <c r="C5" s="9" t="s">
        <v>21</v>
      </c>
      <c r="D5" s="29"/>
      <c r="E5" s="9" t="s">
        <v>33</v>
      </c>
    </row>
    <row r="6" spans="1:5" x14ac:dyDescent="0.2">
      <c r="A6" s="29"/>
      <c r="B6" s="29"/>
      <c r="C6" s="29"/>
      <c r="D6" s="29"/>
      <c r="E6" s="9" t="s">
        <v>34</v>
      </c>
    </row>
    <row r="7" spans="1:5" x14ac:dyDescent="0.2">
      <c r="A7" s="29"/>
      <c r="B7" s="29"/>
      <c r="C7" s="29"/>
      <c r="D7" s="29"/>
      <c r="E7" s="9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</vt:i4>
      </vt:variant>
    </vt:vector>
  </HeadingPairs>
  <TitlesOfParts>
    <vt:vector size="10" baseType="lpstr">
      <vt:lpstr>Dashboard</vt:lpstr>
      <vt:lpstr>Transactions</vt:lpstr>
      <vt:lpstr>Holdings</vt:lpstr>
      <vt:lpstr>Prices</vt:lpstr>
      <vt:lpstr>Summary</vt:lpstr>
      <vt:lpstr>History</vt:lpstr>
      <vt:lpstr>VBA_Log</vt:lpstr>
      <vt:lpstr>Lists</vt:lpstr>
      <vt:lpstr>AssetTypeList</vt:lpstr>
      <vt:lpstr>TickerList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Виталий Кондратюк</dc:creator>
  <cp:lastModifiedBy>Vitalii Kondratiuk</cp:lastModifiedBy>
  <dcterms:created xsi:type="dcterms:W3CDTF">2026-04-13T22:22:07Z</dcterms:created>
  <dcterms:modified xsi:type="dcterms:W3CDTF">2026-05-03T08:09:55Z</dcterms:modified>
</cp:coreProperties>
</file>